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2.bin" ContentType="application/vnd.openxmlformats-officedocument.oleObject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3.bin" ContentType="application/vnd.openxmlformats-officedocument.oleObject"/>
  <Override PartName="/xl/drawings/drawing7.xml" ContentType="application/vnd.openxmlformats-officedocument.drawing+xml"/>
  <Override PartName="/xl/drawings/drawing8.xml" ContentType="application/vnd.openxmlformats-officedocument.drawing+xml"/>
  <Override PartName="/xl/embeddings/oleObject4.bin" ContentType="application/vnd.openxmlformats-officedocument.oleObject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11.xml" ContentType="application/vnd.openxmlformats-officedocument.drawing+xml"/>
  <Override PartName="/xl/drawings/drawing12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13.xml" ContentType="application/vnd.openxmlformats-officedocument.drawing+xml"/>
  <Override PartName="/xl/drawings/drawing14.xml" ContentType="application/vnd.openxmlformats-officedocument.drawing+xml"/>
  <Override PartName="/xl/embeddings/oleObject9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xl/embeddings/oleObject10.bin" ContentType="application/vnd.openxmlformats-officedocument.oleObject"/>
  <Override PartName="/xl/drawings/drawing17.xml" ContentType="application/vnd.openxmlformats-officedocument.drawing+xml"/>
  <Override PartName="/xl/drawings/drawing18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drawings/drawing19.xml" ContentType="application/vnd.openxmlformats-officedocument.drawing+xml"/>
  <Override PartName="/xl/drawings/drawing20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drawings/drawing21.xml" ContentType="application/vnd.openxmlformats-officedocument.drawing+xml"/>
  <Override PartName="/xl/drawings/drawing22.xml" ContentType="application/vnd.openxmlformats-officedocument.drawing+xml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D:\Diogo\Aulas\SENAI\Desenhista_Web_160h\GRDWEB-2-1-21\"/>
    </mc:Choice>
  </mc:AlternateContent>
  <bookViews>
    <workbookView xWindow="32760" yWindow="32760" windowWidth="28800" windowHeight="12225" tabRatio="850" firstSheet="3" activeTab="13"/>
  </bookViews>
  <sheets>
    <sheet name="DADOS_GERAIS" sheetId="7" r:id="rId1"/>
    <sheet name="GERAL-Frente" sheetId="11" r:id="rId2"/>
    <sheet name="GERAL-verso" sheetId="8" r:id="rId3"/>
    <sheet name="UC1-frente" sheetId="12" r:id="rId4"/>
    <sheet name="UC1-verso" sheetId="13" r:id="rId5"/>
    <sheet name="UC2-frente" sheetId="14" r:id="rId6"/>
    <sheet name="UC2-verso" sheetId="15" r:id="rId7"/>
    <sheet name="UC3-frente" sheetId="16" r:id="rId8"/>
    <sheet name="UC3-verso" sheetId="17" r:id="rId9"/>
    <sheet name="UC4-frente" sheetId="18" r:id="rId10"/>
    <sheet name="UC4-verso" sheetId="19" r:id="rId11"/>
    <sheet name="UC5-frente" sheetId="20" r:id="rId12"/>
    <sheet name="UC5-verso" sheetId="21" r:id="rId13"/>
    <sheet name="UC6-frente" sheetId="22" r:id="rId14"/>
    <sheet name="UC6-verso" sheetId="23" r:id="rId15"/>
    <sheet name="UC7-frente" sheetId="24" r:id="rId16"/>
    <sheet name="UC7-verso" sheetId="25" r:id="rId17"/>
    <sheet name="UC8-frente" sheetId="26" r:id="rId18"/>
    <sheet name="UC8-verso" sheetId="27" r:id="rId19"/>
    <sheet name="UC9-frente" sheetId="28" r:id="rId20"/>
    <sheet name="UC9-verso" sheetId="29" r:id="rId21"/>
    <sheet name="UC10-frente" sheetId="30" r:id="rId22"/>
    <sheet name="UC10-verso" sheetId="31" r:id="rId23"/>
  </sheets>
  <definedNames>
    <definedName name="_xlnm.Print_Area" localSheetId="0">DADOS_GERAIS!$C$54</definedName>
    <definedName name="_xlnm.Print_Area" localSheetId="1">'GERAL-Frente'!$A$1:$P$45</definedName>
    <definedName name="_xlnm.Print_Area" localSheetId="2">'GERAL-verso'!$A$1:$AU$45</definedName>
    <definedName name="_xlnm.Print_Area" localSheetId="21">'UC10-frente'!$A$1:$P$45</definedName>
    <definedName name="_xlnm.Print_Area" localSheetId="22">'UC10-verso'!$A$1:$AU$45</definedName>
    <definedName name="_xlnm.Print_Area" localSheetId="3">'UC1-frente'!$A$1:$P$45</definedName>
    <definedName name="_xlnm.Print_Area" localSheetId="4">'UC1-verso'!$A$1:$AU$45</definedName>
    <definedName name="_xlnm.Print_Area" localSheetId="5">'UC2-frente'!$A$1:$P$45</definedName>
    <definedName name="_xlnm.Print_Area" localSheetId="6">'UC2-verso'!$A$1:$AU$45</definedName>
    <definedName name="_xlnm.Print_Area" localSheetId="7">'UC3-frente'!$A$1:$P$45</definedName>
    <definedName name="_xlnm.Print_Area" localSheetId="8">'UC3-verso'!$A$1:$AU$45</definedName>
    <definedName name="_xlnm.Print_Area" localSheetId="9">'UC4-frente'!$A$1:$P$45</definedName>
    <definedName name="_xlnm.Print_Area" localSheetId="10">'UC4-verso'!$A$1:$AU$45</definedName>
    <definedName name="_xlnm.Print_Area" localSheetId="11">'UC5-frente'!$A$1:$P$45</definedName>
    <definedName name="_xlnm.Print_Area" localSheetId="12">'UC5-verso'!$A$1:$AU$45</definedName>
    <definedName name="_xlnm.Print_Area" localSheetId="13">'UC6-frente'!$A$1:$P$45</definedName>
    <definedName name="_xlnm.Print_Area" localSheetId="14">'UC6-verso'!$A$1:$AU$45</definedName>
    <definedName name="_xlnm.Print_Area" localSheetId="15">'UC7-frente'!$A$1:$P$45</definedName>
    <definedName name="_xlnm.Print_Area" localSheetId="16">'UC7-verso'!$A$1:$AU$45</definedName>
    <definedName name="_xlnm.Print_Area" localSheetId="17">'UC8-frente'!$A$1:$P$45</definedName>
    <definedName name="_xlnm.Print_Area" localSheetId="18">'UC8-verso'!$A$1:$AU$45</definedName>
    <definedName name="_xlnm.Print_Area" localSheetId="19">'UC9-frente'!$A$1:$P$45</definedName>
    <definedName name="_xlnm.Print_Area" localSheetId="20">'UC9-verso'!$A$1:$AU$45</definedName>
  </definedNames>
  <calcPr calcId="162913"/>
</workbook>
</file>

<file path=xl/calcChain.xml><?xml version="1.0" encoding="utf-8"?>
<calcChain xmlns="http://schemas.openxmlformats.org/spreadsheetml/2006/main">
  <c r="D2" i="21" l="1"/>
  <c r="L45" i="30" l="1"/>
  <c r="L45" i="28"/>
  <c r="L45" i="26"/>
  <c r="L45" i="24"/>
  <c r="L45" i="22"/>
  <c r="L45" i="20" s="1"/>
  <c r="L45" i="18"/>
  <c r="L45" i="16"/>
  <c r="L45" i="14"/>
  <c r="L45" i="12" s="1"/>
  <c r="M17" i="11" l="1"/>
  <c r="K19" i="11"/>
  <c r="M18" i="12"/>
  <c r="K20" i="12"/>
  <c r="AR17" i="8" l="1"/>
  <c r="AS17" i="8" s="1"/>
  <c r="AR18" i="8"/>
  <c r="AS18" i="8" s="1"/>
  <c r="AR19" i="8"/>
  <c r="AS19" i="8" s="1"/>
  <c r="AR20" i="8"/>
  <c r="AS20" i="8" s="1"/>
  <c r="AR21" i="8"/>
  <c r="AS21" i="8" s="1"/>
  <c r="AR22" i="8"/>
  <c r="AS22" i="8" s="1"/>
  <c r="AR23" i="8"/>
  <c r="AS23" i="8" s="1"/>
  <c r="AR24" i="8"/>
  <c r="AS24" i="8" s="1"/>
  <c r="AR25" i="8"/>
  <c r="AS25" i="8" s="1"/>
  <c r="AR26" i="8"/>
  <c r="AS26" i="8" s="1"/>
  <c r="AR27" i="8"/>
  <c r="AS27" i="8" s="1"/>
  <c r="AR28" i="8"/>
  <c r="AS28" i="8" s="1"/>
  <c r="AR29" i="8"/>
  <c r="AS29" i="8" s="1"/>
  <c r="AR30" i="8"/>
  <c r="AS30" i="8" s="1"/>
  <c r="AR31" i="8"/>
  <c r="AS31" i="8" s="1"/>
  <c r="AR32" i="8"/>
  <c r="AS32" i="8" s="1"/>
  <c r="AR33" i="8"/>
  <c r="AS33" i="8" s="1"/>
  <c r="AR34" i="8"/>
  <c r="AS34" i="8" s="1"/>
  <c r="N45" i="30"/>
  <c r="AR17" i="31"/>
  <c r="AR18" i="31"/>
  <c r="AR19" i="31"/>
  <c r="AR20" i="31"/>
  <c r="AR21" i="31"/>
  <c r="AR22" i="31"/>
  <c r="AR23" i="31"/>
  <c r="AR24" i="31"/>
  <c r="AR25" i="31"/>
  <c r="AR26" i="31"/>
  <c r="AR27" i="31"/>
  <c r="AR28" i="31"/>
  <c r="AR29" i="31"/>
  <c r="AR30" i="31"/>
  <c r="AR31" i="31"/>
  <c r="AR32" i="31"/>
  <c r="AR33" i="31"/>
  <c r="AR34" i="31"/>
  <c r="B34" i="31"/>
  <c r="A34" i="31"/>
  <c r="AT34" i="31" s="1"/>
  <c r="B33" i="31"/>
  <c r="A33" i="31"/>
  <c r="AT33" i="31" s="1"/>
  <c r="B32" i="31"/>
  <c r="A32" i="31"/>
  <c r="AT32" i="31" s="1"/>
  <c r="B31" i="31"/>
  <c r="A31" i="31"/>
  <c r="AT31" i="31" s="1"/>
  <c r="B30" i="31"/>
  <c r="A30" i="31"/>
  <c r="AT30" i="31" s="1"/>
  <c r="B29" i="31"/>
  <c r="A29" i="31"/>
  <c r="AT29" i="31" s="1"/>
  <c r="B28" i="31"/>
  <c r="A28" i="31"/>
  <c r="AT28" i="31" s="1"/>
  <c r="B27" i="31"/>
  <c r="A27" i="31"/>
  <c r="AT27" i="31" s="1"/>
  <c r="B26" i="31"/>
  <c r="A26" i="31"/>
  <c r="AT26" i="31" s="1"/>
  <c r="B25" i="31"/>
  <c r="A25" i="31"/>
  <c r="AT25" i="31" s="1"/>
  <c r="B24" i="31"/>
  <c r="A24" i="31"/>
  <c r="AT24" i="31" s="1"/>
  <c r="B23" i="31"/>
  <c r="A23" i="31"/>
  <c r="AT23" i="31" s="1"/>
  <c r="B22" i="31"/>
  <c r="A22" i="31"/>
  <c r="AT22" i="31" s="1"/>
  <c r="B21" i="31"/>
  <c r="A21" i="31"/>
  <c r="AT21" i="31" s="1"/>
  <c r="B20" i="31"/>
  <c r="A20" i="31"/>
  <c r="AT20" i="31" s="1"/>
  <c r="B19" i="31"/>
  <c r="A19" i="31"/>
  <c r="AT19" i="31" s="1"/>
  <c r="B18" i="31"/>
  <c r="A18" i="31"/>
  <c r="AT18" i="31" s="1"/>
  <c r="B17" i="31"/>
  <c r="A17" i="31"/>
  <c r="AT17" i="31" s="1"/>
  <c r="B16" i="31"/>
  <c r="A16" i="31"/>
  <c r="AT16" i="31" s="1"/>
  <c r="B15" i="31"/>
  <c r="A15" i="31" s="1"/>
  <c r="AT15" i="31" s="1"/>
  <c r="B14" i="31"/>
  <c r="A14" i="31" s="1"/>
  <c r="AT14" i="31" s="1"/>
  <c r="B13" i="31"/>
  <c r="B12" i="31"/>
  <c r="A12" i="31"/>
  <c r="AT12" i="31" s="1"/>
  <c r="B11" i="31"/>
  <c r="A11" i="31" s="1"/>
  <c r="AT11" i="31" s="1"/>
  <c r="B10" i="31"/>
  <c r="B9" i="31"/>
  <c r="A9" i="31" s="1"/>
  <c r="AT9" i="31" s="1"/>
  <c r="B8" i="31"/>
  <c r="A8" i="31"/>
  <c r="AT8" i="31" s="1"/>
  <c r="B7" i="31"/>
  <c r="A7" i="31" s="1"/>
  <c r="AT7" i="31" s="1"/>
  <c r="B6" i="31"/>
  <c r="A6" i="31" s="1"/>
  <c r="AT6" i="31" s="1"/>
  <c r="B5" i="31"/>
  <c r="A5" i="31" s="1"/>
  <c r="AT5" i="31" s="1"/>
  <c r="B4" i="31"/>
  <c r="A4" i="31"/>
  <c r="AT4" i="31" s="1"/>
  <c r="B3" i="31"/>
  <c r="A3" i="31" s="1"/>
  <c r="AT3" i="31" s="1"/>
  <c r="I45" i="30"/>
  <c r="K23" i="30"/>
  <c r="I23" i="30"/>
  <c r="K21" i="30"/>
  <c r="I21" i="30"/>
  <c r="K20" i="30"/>
  <c r="K19" i="30"/>
  <c r="M18" i="30"/>
  <c r="K18" i="30"/>
  <c r="I18" i="30"/>
  <c r="I15" i="30"/>
  <c r="I11" i="30"/>
  <c r="P9" i="30"/>
  <c r="O9" i="30"/>
  <c r="N45" i="16"/>
  <c r="N45" i="18"/>
  <c r="N45" i="20"/>
  <c r="N45" i="22"/>
  <c r="N45" i="28"/>
  <c r="AR17" i="29"/>
  <c r="AR18" i="29"/>
  <c r="AR19" i="29"/>
  <c r="AR20" i="29"/>
  <c r="AR21" i="29"/>
  <c r="AR22" i="29"/>
  <c r="AR23" i="29"/>
  <c r="AR24" i="29"/>
  <c r="AR25" i="29"/>
  <c r="AR26" i="29"/>
  <c r="AR27" i="29"/>
  <c r="AR28" i="29"/>
  <c r="AR29" i="29"/>
  <c r="AR30" i="29"/>
  <c r="AR31" i="29"/>
  <c r="AR32" i="29"/>
  <c r="AR33" i="29"/>
  <c r="AR34" i="29"/>
  <c r="B34" i="29"/>
  <c r="A34" i="29"/>
  <c r="AT34" i="29" s="1"/>
  <c r="B33" i="29"/>
  <c r="A33" i="29"/>
  <c r="AT33" i="29" s="1"/>
  <c r="B32" i="29"/>
  <c r="A32" i="29"/>
  <c r="AT32" i="29" s="1"/>
  <c r="B31" i="29"/>
  <c r="A31" i="29"/>
  <c r="AT31" i="29" s="1"/>
  <c r="B30" i="29"/>
  <c r="A30" i="29"/>
  <c r="AT30" i="29" s="1"/>
  <c r="B29" i="29"/>
  <c r="A29" i="29"/>
  <c r="AT29" i="29" s="1"/>
  <c r="B28" i="29"/>
  <c r="A28" i="29"/>
  <c r="AT28" i="29" s="1"/>
  <c r="B27" i="29"/>
  <c r="A27" i="29"/>
  <c r="AT27" i="29" s="1"/>
  <c r="B26" i="29"/>
  <c r="A26" i="29"/>
  <c r="AT26" i="29" s="1"/>
  <c r="B25" i="29"/>
  <c r="A25" i="29"/>
  <c r="AT25" i="29" s="1"/>
  <c r="B24" i="29"/>
  <c r="A24" i="29"/>
  <c r="AT24" i="29" s="1"/>
  <c r="B23" i="29"/>
  <c r="A23" i="29"/>
  <c r="AT23" i="29" s="1"/>
  <c r="B22" i="29"/>
  <c r="A22" i="29"/>
  <c r="AT22" i="29" s="1"/>
  <c r="B21" i="29"/>
  <c r="A21" i="29"/>
  <c r="AT21" i="29" s="1"/>
  <c r="B20" i="29"/>
  <c r="A20" i="29"/>
  <c r="AT20" i="29" s="1"/>
  <c r="B19" i="29"/>
  <c r="A19" i="29"/>
  <c r="AT19" i="29" s="1"/>
  <c r="B18" i="29"/>
  <c r="A18" i="29"/>
  <c r="AT18" i="29" s="1"/>
  <c r="B17" i="29"/>
  <c r="A17" i="29"/>
  <c r="AT17" i="29" s="1"/>
  <c r="B16" i="29"/>
  <c r="A16" i="29"/>
  <c r="AT16" i="29" s="1"/>
  <c r="B15" i="29"/>
  <c r="A15" i="29"/>
  <c r="AT15" i="29" s="1"/>
  <c r="B14" i="29"/>
  <c r="A14" i="29" s="1"/>
  <c r="AT14" i="29" s="1"/>
  <c r="B13" i="29"/>
  <c r="B12" i="29"/>
  <c r="A12" i="29"/>
  <c r="AT12" i="29" s="1"/>
  <c r="B11" i="29"/>
  <c r="A11" i="29"/>
  <c r="AT11" i="29" s="1"/>
  <c r="B10" i="29"/>
  <c r="A10" i="29" s="1"/>
  <c r="AT10" i="29" s="1"/>
  <c r="B9" i="29"/>
  <c r="A9" i="29" s="1"/>
  <c r="AT9" i="29" s="1"/>
  <c r="B8" i="29"/>
  <c r="B7" i="29"/>
  <c r="A7" i="29"/>
  <c r="AT7" i="29" s="1"/>
  <c r="B6" i="29"/>
  <c r="A6" i="29" s="1"/>
  <c r="AT6" i="29" s="1"/>
  <c r="B5" i="29"/>
  <c r="A5" i="29" s="1"/>
  <c r="AT5" i="29" s="1"/>
  <c r="B4" i="29"/>
  <c r="A4" i="29" s="1"/>
  <c r="AT4" i="29" s="1"/>
  <c r="B3" i="29"/>
  <c r="A3" i="29"/>
  <c r="AT3" i="29" s="1"/>
  <c r="I45" i="28"/>
  <c r="K23" i="28"/>
  <c r="I23" i="28"/>
  <c r="K21" i="28"/>
  <c r="I21" i="28"/>
  <c r="K20" i="28"/>
  <c r="K19" i="28"/>
  <c r="M18" i="28"/>
  <c r="K18" i="28"/>
  <c r="I18" i="28"/>
  <c r="I15" i="28"/>
  <c r="I11" i="28"/>
  <c r="P9" i="28"/>
  <c r="O9" i="28"/>
  <c r="N45" i="24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N45" i="26"/>
  <c r="B34" i="27"/>
  <c r="A34" i="27"/>
  <c r="AT34" i="27" s="1"/>
  <c r="B33" i="27"/>
  <c r="A33" i="27"/>
  <c r="AT33" i="27" s="1"/>
  <c r="B32" i="27"/>
  <c r="A32" i="27"/>
  <c r="AT32" i="27" s="1"/>
  <c r="B31" i="27"/>
  <c r="A31" i="27"/>
  <c r="AT31" i="27" s="1"/>
  <c r="B30" i="27"/>
  <c r="A30" i="27"/>
  <c r="AT30" i="27" s="1"/>
  <c r="B29" i="27"/>
  <c r="A29" i="27"/>
  <c r="AT29" i="27" s="1"/>
  <c r="B28" i="27"/>
  <c r="A28" i="27"/>
  <c r="AT28" i="27" s="1"/>
  <c r="B27" i="27"/>
  <c r="A27" i="27"/>
  <c r="AT27" i="27" s="1"/>
  <c r="B26" i="27"/>
  <c r="A26" i="27"/>
  <c r="AT26" i="27" s="1"/>
  <c r="B25" i="27"/>
  <c r="A25" i="27"/>
  <c r="AT25" i="27" s="1"/>
  <c r="B24" i="27"/>
  <c r="A24" i="27"/>
  <c r="AT24" i="27" s="1"/>
  <c r="B23" i="27"/>
  <c r="A23" i="27"/>
  <c r="AT23" i="27" s="1"/>
  <c r="B22" i="27"/>
  <c r="A22" i="27"/>
  <c r="AT22" i="27" s="1"/>
  <c r="B21" i="27"/>
  <c r="A21" i="27"/>
  <c r="AT21" i="27" s="1"/>
  <c r="B20" i="27"/>
  <c r="A20" i="27"/>
  <c r="AT20" i="27" s="1"/>
  <c r="B19" i="27"/>
  <c r="A19" i="27"/>
  <c r="AT19" i="27" s="1"/>
  <c r="B18" i="27"/>
  <c r="A18" i="27"/>
  <c r="AT18" i="27" s="1"/>
  <c r="B17" i="27"/>
  <c r="A17" i="27"/>
  <c r="AT17" i="27" s="1"/>
  <c r="B16" i="27"/>
  <c r="B15" i="27"/>
  <c r="A15" i="27" s="1"/>
  <c r="AT15" i="27" s="1"/>
  <c r="B14" i="27"/>
  <c r="A14" i="27" s="1"/>
  <c r="AT14" i="27" s="1"/>
  <c r="B13" i="27"/>
  <c r="A13" i="27" s="1"/>
  <c r="AT13" i="27" s="1"/>
  <c r="B12" i="27"/>
  <c r="A12" i="27" s="1"/>
  <c r="AT12" i="27" s="1"/>
  <c r="B11" i="27"/>
  <c r="B10" i="27"/>
  <c r="B9" i="27"/>
  <c r="A9" i="27"/>
  <c r="AT9" i="27" s="1"/>
  <c r="B8" i="27"/>
  <c r="B7" i="27"/>
  <c r="A7" i="27" s="1"/>
  <c r="AT7" i="27" s="1"/>
  <c r="B6" i="27"/>
  <c r="A6" i="27" s="1"/>
  <c r="AT6" i="27" s="1"/>
  <c r="B5" i="27"/>
  <c r="A5" i="27"/>
  <c r="AT5" i="27" s="1"/>
  <c r="B4" i="27"/>
  <c r="A4" i="27" s="1"/>
  <c r="AT4" i="27" s="1"/>
  <c r="B3" i="27"/>
  <c r="A3" i="27" s="1"/>
  <c r="AT3" i="27" s="1"/>
  <c r="I45" i="26"/>
  <c r="K23" i="26"/>
  <c r="I23" i="26"/>
  <c r="K21" i="26"/>
  <c r="I21" i="26"/>
  <c r="K20" i="26"/>
  <c r="K19" i="26"/>
  <c r="M18" i="26"/>
  <c r="K18" i="26"/>
  <c r="I18" i="26"/>
  <c r="I15" i="26"/>
  <c r="I11" i="26"/>
  <c r="P9" i="26"/>
  <c r="O9" i="26"/>
  <c r="AR17" i="25"/>
  <c r="AR18" i="25"/>
  <c r="AR19" i="25"/>
  <c r="AR20" i="25"/>
  <c r="AR21" i="25"/>
  <c r="AR22" i="25"/>
  <c r="AR23" i="25"/>
  <c r="AR24" i="25"/>
  <c r="AR25" i="25"/>
  <c r="AR26" i="25"/>
  <c r="AR27" i="25"/>
  <c r="AR28" i="25"/>
  <c r="AR29" i="25"/>
  <c r="AR30" i="25"/>
  <c r="AR31" i="25"/>
  <c r="AR32" i="25"/>
  <c r="AR33" i="25"/>
  <c r="AR34" i="25"/>
  <c r="B34" i="25"/>
  <c r="A34" i="25"/>
  <c r="AT34" i="25" s="1"/>
  <c r="B33" i="25"/>
  <c r="A33" i="25"/>
  <c r="AT33" i="25" s="1"/>
  <c r="B32" i="25"/>
  <c r="A32" i="25"/>
  <c r="AT32" i="25" s="1"/>
  <c r="B31" i="25"/>
  <c r="A31" i="25"/>
  <c r="AT31" i="25" s="1"/>
  <c r="B30" i="25"/>
  <c r="A30" i="25"/>
  <c r="AT30" i="25" s="1"/>
  <c r="B29" i="25"/>
  <c r="A29" i="25"/>
  <c r="AT29" i="25" s="1"/>
  <c r="B28" i="25"/>
  <c r="A28" i="25"/>
  <c r="AT28" i="25" s="1"/>
  <c r="B27" i="25"/>
  <c r="A27" i="25"/>
  <c r="AT27" i="25" s="1"/>
  <c r="B26" i="25"/>
  <c r="A26" i="25"/>
  <c r="AT26" i="25" s="1"/>
  <c r="B25" i="25"/>
  <c r="A25" i="25"/>
  <c r="AT25" i="25" s="1"/>
  <c r="B24" i="25"/>
  <c r="A24" i="25"/>
  <c r="AT24" i="25" s="1"/>
  <c r="B23" i="25"/>
  <c r="A23" i="25"/>
  <c r="AT23" i="25" s="1"/>
  <c r="B22" i="25"/>
  <c r="A22" i="25"/>
  <c r="AT22" i="25" s="1"/>
  <c r="B21" i="25"/>
  <c r="A21" i="25"/>
  <c r="AT21" i="25" s="1"/>
  <c r="B20" i="25"/>
  <c r="A20" i="25"/>
  <c r="AT20" i="25" s="1"/>
  <c r="B19" i="25"/>
  <c r="A19" i="25"/>
  <c r="AT19" i="25" s="1"/>
  <c r="B18" i="25"/>
  <c r="A18" i="25"/>
  <c r="AT18" i="25" s="1"/>
  <c r="B17" i="25"/>
  <c r="A17" i="25"/>
  <c r="AT17" i="25" s="1"/>
  <c r="B16" i="25"/>
  <c r="B15" i="25"/>
  <c r="B14" i="25"/>
  <c r="A14" i="25"/>
  <c r="AT14" i="25" s="1"/>
  <c r="B13" i="25"/>
  <c r="B12" i="25"/>
  <c r="A12" i="25" s="1"/>
  <c r="AT12" i="25" s="1"/>
  <c r="B11" i="25"/>
  <c r="A11" i="25" s="1"/>
  <c r="AT11" i="25" s="1"/>
  <c r="B10" i="25"/>
  <c r="A10" i="25"/>
  <c r="AT10" i="25" s="1"/>
  <c r="B9" i="25"/>
  <c r="A9" i="25" s="1"/>
  <c r="AT9" i="25" s="1"/>
  <c r="B8" i="25"/>
  <c r="B7" i="25"/>
  <c r="B6" i="25"/>
  <c r="A6" i="25"/>
  <c r="AT6" i="25" s="1"/>
  <c r="B5" i="25"/>
  <c r="A5" i="25" s="1"/>
  <c r="AT5" i="25" s="1"/>
  <c r="B4" i="25"/>
  <c r="A4" i="25" s="1"/>
  <c r="AT4" i="25" s="1"/>
  <c r="B3" i="25"/>
  <c r="A3" i="25" s="1"/>
  <c r="AT3" i="25" s="1"/>
  <c r="I45" i="24"/>
  <c r="K23" i="24"/>
  <c r="I23" i="24"/>
  <c r="K21" i="24"/>
  <c r="I21" i="24"/>
  <c r="K20" i="24"/>
  <c r="K19" i="24"/>
  <c r="M18" i="24"/>
  <c r="K18" i="24"/>
  <c r="I18" i="24"/>
  <c r="I15" i="24"/>
  <c r="I11" i="24"/>
  <c r="P9" i="24"/>
  <c r="O9" i="24"/>
  <c r="I45" i="12"/>
  <c r="AR17" i="23"/>
  <c r="AR18" i="23"/>
  <c r="AR19" i="23"/>
  <c r="AR20" i="23"/>
  <c r="AR21" i="23"/>
  <c r="AR22" i="23"/>
  <c r="AR23" i="23"/>
  <c r="AR24" i="23"/>
  <c r="AR25" i="23"/>
  <c r="AR26" i="23"/>
  <c r="AR27" i="23"/>
  <c r="AR28" i="23"/>
  <c r="AR29" i="23"/>
  <c r="AR30" i="23"/>
  <c r="AR31" i="23"/>
  <c r="AR32" i="23"/>
  <c r="AR33" i="23"/>
  <c r="AR34" i="23"/>
  <c r="B34" i="23"/>
  <c r="A34" i="23"/>
  <c r="AT34" i="23" s="1"/>
  <c r="B33" i="23"/>
  <c r="A33" i="23"/>
  <c r="AT33" i="23" s="1"/>
  <c r="B32" i="23"/>
  <c r="A32" i="23"/>
  <c r="AT32" i="23" s="1"/>
  <c r="B31" i="23"/>
  <c r="A31" i="23"/>
  <c r="AT31" i="23" s="1"/>
  <c r="B30" i="23"/>
  <c r="A30" i="23"/>
  <c r="AT30" i="23" s="1"/>
  <c r="B29" i="23"/>
  <c r="A29" i="23"/>
  <c r="AT29" i="23" s="1"/>
  <c r="B28" i="23"/>
  <c r="A28" i="23"/>
  <c r="AT28" i="23" s="1"/>
  <c r="B27" i="23"/>
  <c r="A27" i="23"/>
  <c r="AT27" i="23" s="1"/>
  <c r="B26" i="23"/>
  <c r="A26" i="23"/>
  <c r="AT26" i="23" s="1"/>
  <c r="B25" i="23"/>
  <c r="A25" i="23"/>
  <c r="AT25" i="23" s="1"/>
  <c r="B24" i="23"/>
  <c r="A24" i="23"/>
  <c r="AT24" i="23" s="1"/>
  <c r="B23" i="23"/>
  <c r="A23" i="23"/>
  <c r="AT23" i="23" s="1"/>
  <c r="B22" i="23"/>
  <c r="A22" i="23"/>
  <c r="AT22" i="23" s="1"/>
  <c r="B21" i="23"/>
  <c r="A21" i="23"/>
  <c r="AT21" i="23" s="1"/>
  <c r="B20" i="23"/>
  <c r="A20" i="23"/>
  <c r="AT20" i="23" s="1"/>
  <c r="B19" i="23"/>
  <c r="A19" i="23"/>
  <c r="AT19" i="23" s="1"/>
  <c r="B18" i="23"/>
  <c r="A18" i="23"/>
  <c r="AT18" i="23" s="1"/>
  <c r="B17" i="23"/>
  <c r="A17" i="23"/>
  <c r="AT17" i="23" s="1"/>
  <c r="B16" i="23"/>
  <c r="A16" i="23"/>
  <c r="AT16" i="23" s="1"/>
  <c r="B15" i="23"/>
  <c r="A15" i="23" s="1"/>
  <c r="AT15" i="23" s="1"/>
  <c r="B14" i="23"/>
  <c r="A14" i="23"/>
  <c r="AT14" i="23" s="1"/>
  <c r="B13" i="23"/>
  <c r="A13" i="23" s="1"/>
  <c r="AT13" i="23" s="1"/>
  <c r="B12" i="23"/>
  <c r="A12" i="23"/>
  <c r="AT12" i="23" s="1"/>
  <c r="B11" i="23"/>
  <c r="A11" i="23" s="1"/>
  <c r="AT11" i="23" s="1"/>
  <c r="B10" i="23"/>
  <c r="A10" i="23"/>
  <c r="AT10" i="23" s="1"/>
  <c r="B9" i="23"/>
  <c r="A9" i="23"/>
  <c r="AT9" i="23" s="1"/>
  <c r="B8" i="23"/>
  <c r="A8" i="23"/>
  <c r="AT8" i="23" s="1"/>
  <c r="B7" i="23"/>
  <c r="A7" i="23" s="1"/>
  <c r="AT7" i="23" s="1"/>
  <c r="B6" i="23"/>
  <c r="A6" i="23"/>
  <c r="AT6" i="23" s="1"/>
  <c r="B5" i="23"/>
  <c r="A5" i="23" s="1"/>
  <c r="AT5" i="23" s="1"/>
  <c r="B4" i="23"/>
  <c r="A4" i="23"/>
  <c r="AT4" i="23" s="1"/>
  <c r="B3" i="23"/>
  <c r="A3" i="23" s="1"/>
  <c r="AT3" i="23" s="1"/>
  <c r="I45" i="22"/>
  <c r="K23" i="22"/>
  <c r="I23" i="22"/>
  <c r="K21" i="22"/>
  <c r="I21" i="22"/>
  <c r="K20" i="22"/>
  <c r="K19" i="22"/>
  <c r="M18" i="22"/>
  <c r="K18" i="22"/>
  <c r="I18" i="22"/>
  <c r="I15" i="22"/>
  <c r="I11" i="22"/>
  <c r="P9" i="22"/>
  <c r="O9" i="22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31" i="15"/>
  <c r="AR32" i="15"/>
  <c r="AR33" i="15"/>
  <c r="AR34" i="15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17" i="19"/>
  <c r="AR18" i="19"/>
  <c r="AR19" i="19"/>
  <c r="AR20" i="19"/>
  <c r="AR21" i="19"/>
  <c r="AR22" i="19"/>
  <c r="AR23" i="19"/>
  <c r="AR24" i="19"/>
  <c r="AR25" i="19"/>
  <c r="AR26" i="19"/>
  <c r="AR27" i="19"/>
  <c r="AR28" i="19"/>
  <c r="AR29" i="19"/>
  <c r="AR30" i="19"/>
  <c r="AR31" i="19"/>
  <c r="AR32" i="19"/>
  <c r="AR33" i="19"/>
  <c r="AR34" i="19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7" i="25" l="1"/>
  <c r="AT7" i="25" s="1"/>
  <c r="A15" i="25"/>
  <c r="AT15" i="25" s="1"/>
  <c r="A10" i="27"/>
  <c r="AT10" i="27" s="1"/>
  <c r="A8" i="29"/>
  <c r="AT8" i="29" s="1"/>
  <c r="A13" i="31"/>
  <c r="AT13" i="31" s="1"/>
  <c r="A8" i="25"/>
  <c r="AT8" i="25" s="1"/>
  <c r="A16" i="25"/>
  <c r="AT16" i="25" s="1"/>
  <c r="A11" i="27"/>
  <c r="AT11" i="27" s="1"/>
  <c r="A13" i="29"/>
  <c r="AT13" i="29" s="1"/>
  <c r="A10" i="31"/>
  <c r="AT10" i="31" s="1"/>
  <c r="A13" i="25"/>
  <c r="AT13" i="25" s="1"/>
  <c r="A8" i="27"/>
  <c r="AT8" i="27" s="1"/>
  <c r="A16" i="27"/>
  <c r="AT16" i="27" s="1"/>
  <c r="I45" i="14"/>
  <c r="I45" i="16"/>
  <c r="I45" i="18"/>
  <c r="I45" i="20"/>
  <c r="K23" i="20"/>
  <c r="I23" i="20"/>
  <c r="K21" i="20"/>
  <c r="I21" i="20"/>
  <c r="K20" i="20"/>
  <c r="K19" i="20"/>
  <c r="M18" i="20"/>
  <c r="K18" i="20"/>
  <c r="I18" i="20"/>
  <c r="I15" i="20"/>
  <c r="I11" i="20"/>
  <c r="P9" i="20"/>
  <c r="O9" i="20"/>
  <c r="K23" i="18"/>
  <c r="I23" i="18"/>
  <c r="K21" i="18"/>
  <c r="I21" i="18"/>
  <c r="K20" i="18"/>
  <c r="K19" i="18"/>
  <c r="M18" i="18"/>
  <c r="K18" i="18"/>
  <c r="I18" i="18"/>
  <c r="I15" i="18"/>
  <c r="I11" i="18"/>
  <c r="P9" i="18"/>
  <c r="O9" i="18"/>
  <c r="K21" i="16"/>
  <c r="K20" i="16"/>
  <c r="K19" i="16"/>
  <c r="M18" i="16"/>
  <c r="K18" i="16"/>
  <c r="K21" i="14"/>
  <c r="K20" i="14"/>
  <c r="K19" i="14"/>
  <c r="M18" i="14"/>
  <c r="K18" i="14"/>
  <c r="K18" i="12"/>
  <c r="K19" i="12"/>
  <c r="N45" i="12"/>
  <c r="N45" i="14" s="1"/>
  <c r="K23" i="12"/>
  <c r="I23" i="12"/>
  <c r="K21" i="12"/>
  <c r="I21" i="12"/>
  <c r="I18" i="12"/>
  <c r="I15" i="12"/>
  <c r="I11" i="12"/>
  <c r="P9" i="12"/>
  <c r="O9" i="12"/>
  <c r="K23" i="14"/>
  <c r="I23" i="14"/>
  <c r="I21" i="14"/>
  <c r="I18" i="14"/>
  <c r="I15" i="14"/>
  <c r="I11" i="14"/>
  <c r="P9" i="14"/>
  <c r="O9" i="14"/>
  <c r="K23" i="16"/>
  <c r="I23" i="16"/>
  <c r="I21" i="16"/>
  <c r="I18" i="16"/>
  <c r="I15" i="16"/>
  <c r="I11" i="16"/>
  <c r="P9" i="16"/>
  <c r="O9" i="16"/>
  <c r="N45" i="11" l="1"/>
  <c r="I45" i="11"/>
  <c r="L45" i="11"/>
  <c r="B34" i="21"/>
  <c r="A34" i="21" s="1"/>
  <c r="B33" i="21"/>
  <c r="A33" i="21" s="1"/>
  <c r="B32" i="21"/>
  <c r="A32" i="21" s="1"/>
  <c r="B31" i="21"/>
  <c r="A31" i="21" s="1"/>
  <c r="B30" i="21"/>
  <c r="A30" i="21" s="1"/>
  <c r="B29" i="21"/>
  <c r="A29" i="21" s="1"/>
  <c r="B28" i="21"/>
  <c r="A28" i="21" s="1"/>
  <c r="B27" i="21"/>
  <c r="A27" i="21" s="1"/>
  <c r="B26" i="21"/>
  <c r="A26" i="21" s="1"/>
  <c r="B25" i="21"/>
  <c r="A25" i="21" s="1"/>
  <c r="B24" i="21"/>
  <c r="A24" i="21" s="1"/>
  <c r="B23" i="21"/>
  <c r="A23" i="21" s="1"/>
  <c r="B22" i="21"/>
  <c r="A22" i="21" s="1"/>
  <c r="B21" i="21"/>
  <c r="A21" i="21" s="1"/>
  <c r="B20" i="21"/>
  <c r="A20" i="21" s="1"/>
  <c r="B19" i="21"/>
  <c r="A19" i="21" s="1"/>
  <c r="B18" i="21"/>
  <c r="A18" i="21" s="1"/>
  <c r="B17" i="21"/>
  <c r="A17" i="21" s="1"/>
  <c r="B16" i="21"/>
  <c r="B15" i="21"/>
  <c r="B14" i="21"/>
  <c r="B13" i="21"/>
  <c r="B12" i="21"/>
  <c r="B11" i="21"/>
  <c r="B10" i="21"/>
  <c r="B9" i="21"/>
  <c r="B8" i="21"/>
  <c r="B7" i="21"/>
  <c r="B6" i="21"/>
  <c r="A6" i="21" s="1"/>
  <c r="B5" i="21"/>
  <c r="A5" i="21" s="1"/>
  <c r="B4" i="21"/>
  <c r="A4" i="21" s="1"/>
  <c r="B3" i="21"/>
  <c r="K22" i="11"/>
  <c r="A16" i="21" l="1"/>
  <c r="A9" i="21"/>
  <c r="A7" i="21"/>
  <c r="A10" i="21"/>
  <c r="AT10" i="21" s="1"/>
  <c r="A14" i="21"/>
  <c r="A8" i="21"/>
  <c r="A11" i="21"/>
  <c r="AT11" i="21" s="1"/>
  <c r="A12" i="21"/>
  <c r="AT12" i="21" s="1"/>
  <c r="A13" i="21"/>
  <c r="A15" i="21"/>
  <c r="AT15" i="21" s="1"/>
  <c r="A3" i="21"/>
  <c r="AT3" i="21" s="1"/>
  <c r="AT22" i="21"/>
  <c r="AT34" i="21"/>
  <c r="AT20" i="21"/>
  <c r="AT24" i="21"/>
  <c r="AT28" i="21"/>
  <c r="AT30" i="21"/>
  <c r="AT19" i="21"/>
  <c r="AT21" i="21"/>
  <c r="AT25" i="21"/>
  <c r="AT27" i="21"/>
  <c r="AT29" i="21"/>
  <c r="AT31" i="21"/>
  <c r="AT33" i="21"/>
  <c r="AT18" i="21"/>
  <c r="AT26" i="21"/>
  <c r="AT32" i="21"/>
  <c r="AT23" i="21"/>
  <c r="AT17" i="21"/>
  <c r="AT7" i="21"/>
  <c r="AT16" i="21"/>
  <c r="AT13" i="21"/>
  <c r="AT8" i="21"/>
  <c r="AT14" i="21"/>
  <c r="AT9" i="21"/>
  <c r="AT4" i="21"/>
  <c r="AT6" i="21"/>
  <c r="AT5" i="21"/>
  <c r="B34" i="19"/>
  <c r="A34" i="19" s="1"/>
  <c r="B33" i="19"/>
  <c r="A33" i="19" s="1"/>
  <c r="B32" i="19"/>
  <c r="A32" i="19" s="1"/>
  <c r="B31" i="19"/>
  <c r="A31" i="19" s="1"/>
  <c r="B30" i="19"/>
  <c r="A30" i="19" s="1"/>
  <c r="B29" i="19"/>
  <c r="A29" i="19" s="1"/>
  <c r="B28" i="19"/>
  <c r="A28" i="19" s="1"/>
  <c r="B27" i="19"/>
  <c r="A27" i="19" s="1"/>
  <c r="B26" i="19"/>
  <c r="A26" i="19" s="1"/>
  <c r="B25" i="19"/>
  <c r="A25" i="19" s="1"/>
  <c r="B24" i="19"/>
  <c r="A24" i="19" s="1"/>
  <c r="B23" i="19"/>
  <c r="A23" i="19" s="1"/>
  <c r="B22" i="19"/>
  <c r="A22" i="19" s="1"/>
  <c r="B21" i="19"/>
  <c r="A21" i="19" s="1"/>
  <c r="B20" i="19"/>
  <c r="A20" i="19" s="1"/>
  <c r="B19" i="19"/>
  <c r="A19" i="19" s="1"/>
  <c r="B18" i="19"/>
  <c r="A18" i="19" s="1"/>
  <c r="B17" i="19"/>
  <c r="A17" i="19" s="1"/>
  <c r="B16" i="19"/>
  <c r="B15" i="19"/>
  <c r="B14" i="19"/>
  <c r="B13" i="19"/>
  <c r="B12" i="19"/>
  <c r="B11" i="19"/>
  <c r="B10" i="19"/>
  <c r="B9" i="19"/>
  <c r="B8" i="19"/>
  <c r="B7" i="19"/>
  <c r="B6" i="19"/>
  <c r="A6" i="19" s="1"/>
  <c r="B5" i="19"/>
  <c r="A5" i="19" s="1"/>
  <c r="B4" i="19"/>
  <c r="A4" i="19" s="1"/>
  <c r="B3" i="19"/>
  <c r="A3" i="19" s="1"/>
  <c r="A16" i="19" l="1"/>
  <c r="A8" i="19"/>
  <c r="A9" i="19"/>
  <c r="A7" i="19"/>
  <c r="AT7" i="19" s="1"/>
  <c r="A12" i="19"/>
  <c r="A11" i="19"/>
  <c r="A13" i="19"/>
  <c r="AT13" i="19" s="1"/>
  <c r="A14" i="19"/>
  <c r="AT14" i="19" s="1"/>
  <c r="A15" i="19"/>
  <c r="AT15" i="19" s="1"/>
  <c r="A10" i="19"/>
  <c r="AT10" i="19" s="1"/>
  <c r="AT19" i="19"/>
  <c r="AT21" i="19"/>
  <c r="AT25" i="19"/>
  <c r="AT27" i="19"/>
  <c r="AT29" i="19"/>
  <c r="AT33" i="19"/>
  <c r="AT17" i="19"/>
  <c r="AT18" i="19"/>
  <c r="AT20" i="19"/>
  <c r="AT22" i="19"/>
  <c r="AT24" i="19"/>
  <c r="AT26" i="19"/>
  <c r="AT28" i="19"/>
  <c r="AT30" i="19"/>
  <c r="AT32" i="19"/>
  <c r="AT34" i="19"/>
  <c r="AT23" i="19"/>
  <c r="AT31" i="19"/>
  <c r="AT8" i="19"/>
  <c r="AT11" i="19"/>
  <c r="AT9" i="19"/>
  <c r="AT12" i="19"/>
  <c r="AT16" i="19"/>
  <c r="AT5" i="19"/>
  <c r="AT4" i="19"/>
  <c r="AT3" i="19"/>
  <c r="AT6" i="19"/>
  <c r="B34" i="17"/>
  <c r="A34" i="17" s="1"/>
  <c r="B33" i="17"/>
  <c r="A33" i="17" s="1"/>
  <c r="B32" i="17"/>
  <c r="A32" i="17" s="1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A19" i="17" s="1"/>
  <c r="B18" i="17"/>
  <c r="A18" i="17" s="1"/>
  <c r="B17" i="17"/>
  <c r="A17" i="17" s="1"/>
  <c r="B16" i="17"/>
  <c r="B15" i="17"/>
  <c r="B14" i="17"/>
  <c r="B13" i="17"/>
  <c r="B12" i="17"/>
  <c r="B11" i="17"/>
  <c r="B10" i="17"/>
  <c r="B9" i="17"/>
  <c r="B8" i="17"/>
  <c r="B7" i="17"/>
  <c r="B6" i="17"/>
  <c r="A6" i="17" s="1"/>
  <c r="B5" i="17"/>
  <c r="A5" i="17" s="1"/>
  <c r="B4" i="17"/>
  <c r="B3" i="17"/>
  <c r="A3" i="17" s="1"/>
  <c r="B34" i="15"/>
  <c r="A34" i="15" s="1"/>
  <c r="B33" i="15"/>
  <c r="A33" i="15" s="1"/>
  <c r="B32" i="15"/>
  <c r="A32" i="15" s="1"/>
  <c r="B31" i="15"/>
  <c r="A31" i="15" s="1"/>
  <c r="B30" i="15"/>
  <c r="A30" i="15" s="1"/>
  <c r="B29" i="15"/>
  <c r="A29" i="15" s="1"/>
  <c r="B28" i="15"/>
  <c r="A28" i="15" s="1"/>
  <c r="B27" i="15"/>
  <c r="A27" i="15" s="1"/>
  <c r="B26" i="15"/>
  <c r="A26" i="15" s="1"/>
  <c r="B25" i="15"/>
  <c r="A25" i="15" s="1"/>
  <c r="B24" i="15"/>
  <c r="A24" i="15" s="1"/>
  <c r="B23" i="15"/>
  <c r="A23" i="15" s="1"/>
  <c r="B22" i="15"/>
  <c r="A22" i="15" s="1"/>
  <c r="B21" i="15"/>
  <c r="A21" i="15" s="1"/>
  <c r="B20" i="15"/>
  <c r="A20" i="15" s="1"/>
  <c r="B19" i="15"/>
  <c r="A19" i="15" s="1"/>
  <c r="B18" i="15"/>
  <c r="A18" i="15" s="1"/>
  <c r="B17" i="15"/>
  <c r="A17" i="15" s="1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A4" i="17" l="1"/>
  <c r="A13" i="17"/>
  <c r="A6" i="15"/>
  <c r="A7" i="15"/>
  <c r="AT7" i="15" s="1"/>
  <c r="A7" i="17"/>
  <c r="A4" i="15"/>
  <c r="A5" i="15"/>
  <c r="A16" i="15"/>
  <c r="AT16" i="15" s="1"/>
  <c r="A16" i="17"/>
  <c r="A14" i="15"/>
  <c r="A14" i="17"/>
  <c r="A8" i="15"/>
  <c r="AT8" i="15" s="1"/>
  <c r="A8" i="17"/>
  <c r="A9" i="15"/>
  <c r="A9" i="17"/>
  <c r="A12" i="15"/>
  <c r="A10" i="17"/>
  <c r="A12" i="17"/>
  <c r="A13" i="15"/>
  <c r="A10" i="15"/>
  <c r="AT10" i="15" s="1"/>
  <c r="A3" i="15"/>
  <c r="AR3" i="15"/>
  <c r="AR3" i="17" s="1"/>
  <c r="AR3" i="19" s="1"/>
  <c r="AR3" i="21" s="1"/>
  <c r="AR3" i="23" s="1"/>
  <c r="AR3" i="25" s="1"/>
  <c r="AR3" i="27" s="1"/>
  <c r="AR3" i="29" s="1"/>
  <c r="AR3" i="31" s="1"/>
  <c r="A11" i="15"/>
  <c r="A11" i="17"/>
  <c r="A15" i="15"/>
  <c r="AT15" i="15" s="1"/>
  <c r="A15" i="17"/>
  <c r="AT11" i="15"/>
  <c r="AT12" i="17"/>
  <c r="AT7" i="17"/>
  <c r="AT16" i="17"/>
  <c r="AT13" i="17"/>
  <c r="AT12" i="15"/>
  <c r="AT8" i="17"/>
  <c r="AT11" i="17"/>
  <c r="AT14" i="17"/>
  <c r="AT9" i="15"/>
  <c r="AT10" i="17"/>
  <c r="AT13" i="15"/>
  <c r="AT9" i="17"/>
  <c r="AT15" i="17"/>
  <c r="AT14" i="15"/>
  <c r="AT4" i="15"/>
  <c r="AT5" i="17"/>
  <c r="AT3" i="15"/>
  <c r="AT4" i="17"/>
  <c r="AT6" i="15"/>
  <c r="AT3" i="17"/>
  <c r="AT5" i="15"/>
  <c r="AT6" i="17"/>
  <c r="B34" i="13"/>
  <c r="A34" i="13" s="1"/>
  <c r="B33" i="13"/>
  <c r="A33" i="13" s="1"/>
  <c r="B32" i="13"/>
  <c r="A32" i="13" s="1"/>
  <c r="B31" i="13"/>
  <c r="A31" i="13" s="1"/>
  <c r="B30" i="13"/>
  <c r="A30" i="13" s="1"/>
  <c r="B29" i="13"/>
  <c r="A29" i="13" s="1"/>
  <c r="B28" i="13"/>
  <c r="A28" i="13" s="1"/>
  <c r="B27" i="13"/>
  <c r="A27" i="13" s="1"/>
  <c r="B26" i="13"/>
  <c r="A26" i="13" s="1"/>
  <c r="B25" i="13"/>
  <c r="A25" i="13" s="1"/>
  <c r="B24" i="13"/>
  <c r="A24" i="13" s="1"/>
  <c r="B23" i="13"/>
  <c r="A23" i="13" s="1"/>
  <c r="B22" i="13"/>
  <c r="A22" i="13" s="1"/>
  <c r="B21" i="13"/>
  <c r="A21" i="13" s="1"/>
  <c r="B20" i="13"/>
  <c r="A20" i="13" s="1"/>
  <c r="B19" i="13"/>
  <c r="A19" i="13" s="1"/>
  <c r="B18" i="13"/>
  <c r="A18" i="13" s="1"/>
  <c r="B17" i="13"/>
  <c r="A17" i="13" s="1"/>
  <c r="B16" i="13"/>
  <c r="A16" i="13" s="1"/>
  <c r="B15" i="13"/>
  <c r="A15" i="13" s="1"/>
  <c r="B14" i="13"/>
  <c r="A14" i="13" s="1"/>
  <c r="B13" i="13"/>
  <c r="A13" i="13" s="1"/>
  <c r="B12" i="13"/>
  <c r="A12" i="13" s="1"/>
  <c r="B11" i="13"/>
  <c r="A11" i="13" s="1"/>
  <c r="B10" i="13"/>
  <c r="A10" i="13" s="1"/>
  <c r="B9" i="13"/>
  <c r="A9" i="13" s="1"/>
  <c r="B8" i="13"/>
  <c r="A8" i="13" s="1"/>
  <c r="B7" i="13"/>
  <c r="A7" i="13" s="1"/>
  <c r="B6" i="13"/>
  <c r="A6" i="13" s="1"/>
  <c r="B5" i="13"/>
  <c r="A5" i="13" s="1"/>
  <c r="B4" i="13"/>
  <c r="A4" i="13" s="1"/>
  <c r="B3" i="13"/>
  <c r="AR3" i="13" s="1"/>
  <c r="A3" i="13" l="1"/>
  <c r="AR19" i="13"/>
  <c r="AT19" i="13"/>
  <c r="AR21" i="13"/>
  <c r="AT21" i="13"/>
  <c r="AR23" i="13"/>
  <c r="AT23" i="13"/>
  <c r="AR25" i="13"/>
  <c r="AT25" i="13"/>
  <c r="AR27" i="13"/>
  <c r="AT27" i="13"/>
  <c r="AR29" i="13"/>
  <c r="AT29" i="13"/>
  <c r="AR31" i="13"/>
  <c r="AT31" i="13"/>
  <c r="AR33" i="13"/>
  <c r="AT33" i="13"/>
  <c r="AR17" i="13"/>
  <c r="AT17" i="13"/>
  <c r="AR18" i="13"/>
  <c r="AT18" i="13"/>
  <c r="AR20" i="13"/>
  <c r="AT20" i="13"/>
  <c r="AR22" i="13"/>
  <c r="AT22" i="13"/>
  <c r="AR24" i="13"/>
  <c r="AT24" i="13"/>
  <c r="AR26" i="13"/>
  <c r="AT26" i="13"/>
  <c r="AR28" i="13"/>
  <c r="AT28" i="13"/>
  <c r="AR30" i="13"/>
  <c r="AT30" i="13"/>
  <c r="AR32" i="13"/>
  <c r="AT32" i="13"/>
  <c r="AR34" i="13"/>
  <c r="AT34" i="13"/>
  <c r="AR14" i="13"/>
  <c r="AR14" i="15" s="1"/>
  <c r="AR14" i="17" s="1"/>
  <c r="AR14" i="19" s="1"/>
  <c r="AR14" i="21" s="1"/>
  <c r="AR14" i="23" s="1"/>
  <c r="AR14" i="25" s="1"/>
  <c r="AR14" i="27" s="1"/>
  <c r="AR14" i="29" s="1"/>
  <c r="AR14" i="31" s="1"/>
  <c r="AT14" i="13"/>
  <c r="AR12" i="13"/>
  <c r="AR12" i="15" s="1"/>
  <c r="AR12" i="17" s="1"/>
  <c r="AR12" i="19" s="1"/>
  <c r="AR12" i="21" s="1"/>
  <c r="AR12" i="23" s="1"/>
  <c r="AR12" i="25" s="1"/>
  <c r="AR12" i="27" s="1"/>
  <c r="AR12" i="29" s="1"/>
  <c r="AR12" i="31" s="1"/>
  <c r="AT12" i="13"/>
  <c r="AR16" i="13"/>
  <c r="AR16" i="15" s="1"/>
  <c r="AR16" i="17" s="1"/>
  <c r="AR16" i="19" s="1"/>
  <c r="AR16" i="21" s="1"/>
  <c r="AR16" i="23" s="1"/>
  <c r="AR16" i="25" s="1"/>
  <c r="AR16" i="27" s="1"/>
  <c r="AR16" i="29" s="1"/>
  <c r="AR16" i="31" s="1"/>
  <c r="AT16" i="13"/>
  <c r="AR10" i="13"/>
  <c r="AR10" i="15" s="1"/>
  <c r="AR10" i="17" s="1"/>
  <c r="AR10" i="19" s="1"/>
  <c r="AR10" i="21" s="1"/>
  <c r="AR10" i="23" s="1"/>
  <c r="AR10" i="25" s="1"/>
  <c r="AR10" i="27" s="1"/>
  <c r="AR10" i="29" s="1"/>
  <c r="AR10" i="31" s="1"/>
  <c r="AT10" i="13"/>
  <c r="AR9" i="13"/>
  <c r="AR9" i="15" s="1"/>
  <c r="AR9" i="17" s="1"/>
  <c r="AR9" i="19" s="1"/>
  <c r="AR9" i="21" s="1"/>
  <c r="AR9" i="23" s="1"/>
  <c r="AR9" i="25" s="1"/>
  <c r="AR9" i="27" s="1"/>
  <c r="AR9" i="29" s="1"/>
  <c r="AR9" i="31" s="1"/>
  <c r="AT9" i="13"/>
  <c r="AR15" i="13"/>
  <c r="AR15" i="15" s="1"/>
  <c r="AR15" i="17" s="1"/>
  <c r="AR15" i="19" s="1"/>
  <c r="AR15" i="21" s="1"/>
  <c r="AR15" i="23" s="1"/>
  <c r="AR15" i="25" s="1"/>
  <c r="AR15" i="27" s="1"/>
  <c r="AR15" i="29" s="1"/>
  <c r="AR15" i="31" s="1"/>
  <c r="AT15" i="13"/>
  <c r="AR13" i="13"/>
  <c r="AR13" i="15" s="1"/>
  <c r="AR13" i="17" s="1"/>
  <c r="AR13" i="19" s="1"/>
  <c r="AR13" i="21" s="1"/>
  <c r="AR13" i="23" s="1"/>
  <c r="AR13" i="25" s="1"/>
  <c r="AR13" i="27" s="1"/>
  <c r="AR13" i="29" s="1"/>
  <c r="AR13" i="31" s="1"/>
  <c r="AT13" i="13"/>
  <c r="AR8" i="13"/>
  <c r="AR8" i="15" s="1"/>
  <c r="AR8" i="17" s="1"/>
  <c r="AR8" i="19" s="1"/>
  <c r="AR8" i="21" s="1"/>
  <c r="AR8" i="23" s="1"/>
  <c r="AR8" i="25" s="1"/>
  <c r="AR8" i="27" s="1"/>
  <c r="AR8" i="29" s="1"/>
  <c r="AR8" i="31" s="1"/>
  <c r="AT8" i="13"/>
  <c r="AR7" i="13"/>
  <c r="AR7" i="15" s="1"/>
  <c r="AR7" i="17" s="1"/>
  <c r="AR7" i="19" s="1"/>
  <c r="AR7" i="21" s="1"/>
  <c r="AR7" i="23" s="1"/>
  <c r="AR7" i="25" s="1"/>
  <c r="AR7" i="27" s="1"/>
  <c r="AR7" i="29" s="1"/>
  <c r="AR7" i="31" s="1"/>
  <c r="AT7" i="13"/>
  <c r="AR11" i="13"/>
  <c r="AR11" i="15" s="1"/>
  <c r="AR11" i="17" s="1"/>
  <c r="AR11" i="19" s="1"/>
  <c r="AR11" i="21" s="1"/>
  <c r="AR11" i="23" s="1"/>
  <c r="AR11" i="25" s="1"/>
  <c r="AR11" i="27" s="1"/>
  <c r="AR11" i="29" s="1"/>
  <c r="AR11" i="31" s="1"/>
  <c r="AT11" i="13"/>
  <c r="AR6" i="13"/>
  <c r="AR6" i="15" s="1"/>
  <c r="AR6" i="17" s="1"/>
  <c r="AR6" i="19" s="1"/>
  <c r="AR6" i="21" s="1"/>
  <c r="AR6" i="23" s="1"/>
  <c r="AR6" i="25" s="1"/>
  <c r="AR6" i="27" s="1"/>
  <c r="AR6" i="29" s="1"/>
  <c r="AR6" i="31" s="1"/>
  <c r="AT6" i="13"/>
  <c r="AR5" i="13"/>
  <c r="AR5" i="15" s="1"/>
  <c r="AR5" i="17" s="1"/>
  <c r="AR5" i="19" s="1"/>
  <c r="AR5" i="21" s="1"/>
  <c r="AR5" i="23" s="1"/>
  <c r="AR5" i="25" s="1"/>
  <c r="AR5" i="27" s="1"/>
  <c r="AR5" i="29" s="1"/>
  <c r="AR5" i="31" s="1"/>
  <c r="AT5" i="13"/>
  <c r="AR4" i="13"/>
  <c r="AR4" i="15" s="1"/>
  <c r="AR4" i="17" s="1"/>
  <c r="AR4" i="19" s="1"/>
  <c r="AR4" i="21" s="1"/>
  <c r="AR4" i="23" s="1"/>
  <c r="AR4" i="25" s="1"/>
  <c r="AR4" i="27" s="1"/>
  <c r="AR4" i="29" s="1"/>
  <c r="AR4" i="31" s="1"/>
  <c r="AT4" i="13"/>
  <c r="AT3" i="13"/>
  <c r="B12" i="8" l="1"/>
  <c r="AR12" i="8" s="1"/>
  <c r="AS12" i="8" s="1"/>
  <c r="B11" i="8"/>
  <c r="AR11" i="8" s="1"/>
  <c r="AS11" i="8" s="1"/>
  <c r="B10" i="8"/>
  <c r="AR10" i="8" s="1"/>
  <c r="AS10" i="8" s="1"/>
  <c r="B9" i="8"/>
  <c r="AR9" i="8" s="1"/>
  <c r="AS9" i="8" s="1"/>
  <c r="B8" i="8"/>
  <c r="AR8" i="8" s="1"/>
  <c r="AS8" i="8" s="1"/>
  <c r="B7" i="8"/>
  <c r="AR7" i="8" s="1"/>
  <c r="AS7" i="8" s="1"/>
  <c r="B6" i="8"/>
  <c r="AR6" i="8" s="1"/>
  <c r="AS6" i="8" s="1"/>
  <c r="B5" i="8"/>
  <c r="AR5" i="8" s="1"/>
  <c r="AS5" i="8" s="1"/>
  <c r="B4" i="8"/>
  <c r="AR4" i="8" s="1"/>
  <c r="AS4" i="8" s="1"/>
  <c r="B3" i="8"/>
  <c r="AR3" i="8" s="1"/>
  <c r="AS3" i="8" s="1"/>
  <c r="A7" i="8" l="1"/>
  <c r="A11" i="8"/>
  <c r="A12" i="8"/>
  <c r="A8" i="8"/>
  <c r="A9" i="8"/>
  <c r="A10" i="8"/>
  <c r="A6" i="8"/>
  <c r="A5" i="8"/>
  <c r="A3" i="8"/>
  <c r="A4" i="8"/>
  <c r="I6" i="11"/>
  <c r="K18" i="11" l="1"/>
  <c r="K20" i="11"/>
  <c r="K17" i="11"/>
  <c r="I22" i="11"/>
  <c r="O9" i="11"/>
  <c r="P9" i="11"/>
  <c r="I20" i="11"/>
  <c r="I17" i="11"/>
  <c r="B14" i="8"/>
  <c r="AR14" i="8" s="1"/>
  <c r="AS14" i="8" s="1"/>
  <c r="AU4" i="8"/>
  <c r="B16" i="8"/>
  <c r="AR16" i="8" s="1"/>
  <c r="AS16" i="8" s="1"/>
  <c r="B29" i="8"/>
  <c r="B30" i="8"/>
  <c r="B31" i="8"/>
  <c r="B32" i="8"/>
  <c r="B33" i="8"/>
  <c r="B34" i="8"/>
  <c r="I13" i="11"/>
  <c r="I11" i="11"/>
  <c r="AU5" i="8"/>
  <c r="AU6" i="8"/>
  <c r="AU7" i="8"/>
  <c r="AU8" i="8"/>
  <c r="AU9" i="8"/>
  <c r="AU10" i="8"/>
  <c r="AU11" i="8"/>
  <c r="AU12" i="8"/>
  <c r="B13" i="8"/>
  <c r="AR13" i="8" s="1"/>
  <c r="AS13" i="8" s="1"/>
  <c r="B15" i="8"/>
  <c r="AR15" i="8" s="1"/>
  <c r="AS15" i="8" s="1"/>
  <c r="B17" i="8"/>
  <c r="B18" i="8"/>
  <c r="B19" i="8"/>
  <c r="B20" i="8"/>
  <c r="B21" i="8"/>
  <c r="B22" i="8"/>
  <c r="B23" i="8"/>
  <c r="B24" i="8"/>
  <c r="B25" i="8"/>
  <c r="B26" i="8"/>
  <c r="B27" i="8"/>
  <c r="B28" i="8"/>
  <c r="AU3" i="8"/>
  <c r="AT3" i="8"/>
  <c r="AT12" i="8"/>
  <c r="AT11" i="8"/>
  <c r="AT10" i="8"/>
  <c r="AT9" i="8"/>
  <c r="AT8" i="8"/>
  <c r="AT7" i="8"/>
  <c r="AT6" i="8"/>
  <c r="AT5" i="8"/>
  <c r="AT4" i="8"/>
  <c r="A27" i="8" l="1"/>
  <c r="AU27" i="8"/>
  <c r="A19" i="8"/>
  <c r="AT19" i="8" s="1"/>
  <c r="AU19" i="8"/>
  <c r="A33" i="8"/>
  <c r="AU33" i="8"/>
  <c r="AU22" i="8"/>
  <c r="A22" i="8"/>
  <c r="A18" i="8"/>
  <c r="A32" i="8"/>
  <c r="AT32" i="8" s="1"/>
  <c r="AU32" i="8"/>
  <c r="A21" i="8"/>
  <c r="AU31" i="8"/>
  <c r="A31" i="8"/>
  <c r="AU23" i="8"/>
  <c r="A23" i="8"/>
  <c r="A29" i="8"/>
  <c r="AT29" i="8" s="1"/>
  <c r="AU29" i="8"/>
  <c r="AU26" i="8"/>
  <c r="A26" i="8"/>
  <c r="A25" i="8"/>
  <c r="AT25" i="8" s="1"/>
  <c r="AU25" i="8"/>
  <c r="A17" i="8"/>
  <c r="A28" i="8"/>
  <c r="AU28" i="8"/>
  <c r="A24" i="8"/>
  <c r="AU24" i="8"/>
  <c r="AU20" i="8"/>
  <c r="A20" i="8"/>
  <c r="AU34" i="8"/>
  <c r="A34" i="8"/>
  <c r="AU30" i="8"/>
  <c r="A30" i="8"/>
  <c r="A16" i="8"/>
  <c r="AU16" i="8"/>
  <c r="AU18" i="8"/>
  <c r="AT18" i="8"/>
  <c r="AT22" i="8"/>
  <c r="AT21" i="8"/>
  <c r="AU21" i="8"/>
  <c r="AT31" i="8"/>
  <c r="AT28" i="8"/>
  <c r="AT34" i="8"/>
  <c r="AT30" i="8"/>
  <c r="AT26" i="8"/>
  <c r="AT17" i="8"/>
  <c r="AU17" i="8"/>
  <c r="AT24" i="8"/>
  <c r="AT20" i="8"/>
  <c r="AT27" i="8"/>
  <c r="AT23" i="8"/>
  <c r="AT33" i="8"/>
  <c r="A15" i="8"/>
  <c r="AT15" i="8" s="1"/>
  <c r="AU15" i="8"/>
  <c r="AT16" i="8"/>
  <c r="A13" i="8"/>
  <c r="AT13" i="8" s="1"/>
  <c r="AU13" i="8"/>
  <c r="A14" i="8"/>
  <c r="AT14" i="8" s="1"/>
  <c r="AU14" i="8"/>
</calcChain>
</file>

<file path=xl/sharedStrings.xml><?xml version="1.0" encoding="utf-8"?>
<sst xmlns="http://schemas.openxmlformats.org/spreadsheetml/2006/main" count="2910" uniqueCount="138">
  <si>
    <t>DATA</t>
  </si>
  <si>
    <t>Curso</t>
  </si>
  <si>
    <t>Nº de Ordem</t>
  </si>
  <si>
    <t>Nome do Treinando</t>
  </si>
  <si>
    <t>Mês</t>
  </si>
  <si>
    <t>Nota</t>
  </si>
  <si>
    <t>Resultado Final</t>
  </si>
  <si>
    <t>Dias</t>
  </si>
  <si>
    <t>Representante do Cliente</t>
  </si>
  <si>
    <t>O curso foi realizado conforme apontado neste relatório.</t>
  </si>
  <si>
    <t>Assinatura do Responsável</t>
  </si>
  <si>
    <t>da Empresa</t>
  </si>
  <si>
    <t>Docente</t>
  </si>
  <si>
    <t>da Escola</t>
  </si>
  <si>
    <t>HORAS</t>
  </si>
  <si>
    <t>Nº Proposta / Ano</t>
  </si>
  <si>
    <t>Local de Realização</t>
  </si>
  <si>
    <t>Tipo de Atendimento</t>
  </si>
  <si>
    <t xml:space="preserve">Turma </t>
  </si>
  <si>
    <t>Dias da Semana e Horário</t>
  </si>
  <si>
    <t>Horas(Previsto)</t>
  </si>
  <si>
    <t>Responsável na Escola</t>
  </si>
  <si>
    <t>Cliente</t>
  </si>
  <si>
    <t>Informação para Pagamento do Docente</t>
  </si>
  <si>
    <t>Período</t>
  </si>
  <si>
    <t>Total de Horas</t>
  </si>
  <si>
    <t xml:space="preserve">  Representante da Empresa</t>
  </si>
  <si>
    <t>Horas(Realizado)</t>
  </si>
  <si>
    <t>Nº</t>
  </si>
  <si>
    <t>Nome do aluno:</t>
  </si>
  <si>
    <t>Turma:</t>
  </si>
  <si>
    <t>Curso:</t>
  </si>
  <si>
    <r>
      <t xml:space="preserve">EM DIAS LETIVOS E FREQÜÊNCIA cada coluna corresponde a 1 hora/aula que deve ser preenchida com </t>
    </r>
    <r>
      <rPr>
        <b/>
        <sz val="9"/>
        <rFont val="Arial"/>
        <family val="2"/>
      </rPr>
      <t>|</t>
    </r>
    <r>
      <rPr>
        <sz val="9"/>
        <rFont val="Arial"/>
        <family val="2"/>
      </rPr>
      <t xml:space="preserve"> em caso de falta, (</t>
    </r>
    <r>
      <rPr>
        <b/>
        <sz val="9"/>
        <rFont val="Arial"/>
        <family val="2"/>
      </rPr>
      <t>.</t>
    </r>
    <r>
      <rPr>
        <sz val="9"/>
        <rFont val="Arial"/>
        <family val="2"/>
      </rPr>
      <t>) para presença e</t>
    </r>
    <r>
      <rPr>
        <b/>
        <sz val="9"/>
        <rFont val="Arial"/>
        <family val="2"/>
      </rPr>
      <t>T</t>
    </r>
    <r>
      <rPr>
        <sz val="9"/>
        <rFont val="Arial"/>
        <family val="2"/>
      </rPr>
      <t xml:space="preserve"> para atraso.Os algarismos registrados nestes campos, correspondem à quantidade de faltas do aluno no respectivo dia letivo.</t>
    </r>
  </si>
  <si>
    <t>Emissão</t>
  </si>
  <si>
    <t xml:space="preserve">Assinatura do </t>
  </si>
  <si>
    <t>Assiantura do Responsável</t>
  </si>
  <si>
    <t>* Aluno Evadido    ** Aluno Dispensado    *** Trancamento    **** Aluno Transferido</t>
  </si>
  <si>
    <t xml:space="preserve">  ____/____/____          ____/____/____</t>
  </si>
  <si>
    <t>Valor Hora</t>
  </si>
  <si>
    <t xml:space="preserve">  RG.:      _________________________________________</t>
  </si>
  <si>
    <t>Nome:   _________________________________________</t>
  </si>
  <si>
    <t>DIÁRIO DE CLASSE</t>
  </si>
  <si>
    <t>Escola</t>
  </si>
  <si>
    <t xml:space="preserve">  Praça Prof. Antonio de Queiroz, 72</t>
  </si>
  <si>
    <t xml:space="preserve"> </t>
  </si>
  <si>
    <t>CONTEÚDO FORMATIVO</t>
  </si>
  <si>
    <t xml:space="preserve">    19 2113-6400</t>
  </si>
  <si>
    <t xml:space="preserve"> ESCOLA SENAI LUIZ VARGA</t>
  </si>
  <si>
    <t>Término Previsto do</t>
  </si>
  <si>
    <t>Início Previsto do Curso</t>
  </si>
  <si>
    <t>Componentes Curriculares</t>
  </si>
  <si>
    <t>Carga Horária Componente</t>
  </si>
  <si>
    <t>Unidade Curricular</t>
  </si>
  <si>
    <t>Horas(Previsto-Unidade)</t>
  </si>
  <si>
    <t>Início Efetivo da Unidade</t>
  </si>
  <si>
    <t>Término Efetivo da Unidade</t>
  </si>
  <si>
    <t>Emissão:</t>
  </si>
  <si>
    <t>Especificação:</t>
  </si>
  <si>
    <t>Início do Curso:</t>
  </si>
  <si>
    <t>Término Previsto do Curso:</t>
  </si>
  <si>
    <t>Dias da Semana e Horário:</t>
  </si>
  <si>
    <t>Carga Horária do Curso:</t>
  </si>
  <si>
    <t>Responsável da Escola:</t>
  </si>
  <si>
    <t>Informações do Curso - Preencher os campos</t>
  </si>
  <si>
    <t>GRDWEB 1-2/21</t>
  </si>
  <si>
    <t>Desenhista de Páginas para Web (Web Designer)</t>
  </si>
  <si>
    <t>Qualificação Profissional</t>
  </si>
  <si>
    <t>DIOGO TAKAMORI BARBOSA</t>
  </si>
  <si>
    <t>Quarta-feira - 19:00 Até 22:00</t>
  </si>
  <si>
    <t>Quinta-feira - 19:00 Até 22:00</t>
  </si>
  <si>
    <t>Osmair Paes Landin</t>
  </si>
  <si>
    <t>HTML - Linguagem de Marcação de Hipertexto</t>
  </si>
  <si>
    <t>CSS</t>
  </si>
  <si>
    <t>JavaScript</t>
  </si>
  <si>
    <t>Programação de Edição de Imagens</t>
  </si>
  <si>
    <t>Programa de edição HTML, CSS e JavaScript</t>
  </si>
  <si>
    <t>Diário de Classe por Unidade Curricular</t>
  </si>
  <si>
    <t>Formação Inicial e Continuada</t>
  </si>
  <si>
    <t>Escola Senai "Luiz Varga"</t>
  </si>
  <si>
    <t>Início Efetivo do Curso</t>
  </si>
  <si>
    <t>Término Efetivo do Curso</t>
  </si>
  <si>
    <t>Resultado Final:             C = Certificado             N = Não Certificado             E = Evadido             T = Transferido</t>
  </si>
  <si>
    <t>Faltas (Horas)</t>
  </si>
  <si>
    <t>DIOGO HENRIQUE DOS SANTOS</t>
  </si>
  <si>
    <t>Gisele Cristina Werkling</t>
  </si>
  <si>
    <t>IGOR HENRIQUE DA SILVA</t>
  </si>
  <si>
    <t>JARED EDUARDO MENTADO MENDONZA</t>
  </si>
  <si>
    <t>JHONATAN HENRIQUE DA SILVA PIRES DA CRUZ</t>
  </si>
  <si>
    <t>JONATAS BARBOSA DA SILVA</t>
  </si>
  <si>
    <t>MARCOS DA CRUZ OLIVEIRA</t>
  </si>
  <si>
    <t>MARCOS PAULO ALVES PEREIRA</t>
  </si>
  <si>
    <t>MATHEUS HENRIQUE DOS REIS</t>
  </si>
  <si>
    <t>MATHEUS SUMERE</t>
  </si>
  <si>
    <t>PIETRA LIMA</t>
  </si>
  <si>
    <t>SAMUEL ALFONSO MENTADO MENDONZA</t>
  </si>
  <si>
    <t>THIAGO DAVI LIMA ALMEIDA</t>
  </si>
  <si>
    <t>Fundamentos da Internet, World Wide Web</t>
  </si>
  <si>
    <t>Funcionamento da Internet, Intranet</t>
  </si>
  <si>
    <t>Hospedagem de um Site</t>
  </si>
  <si>
    <t xml:space="preserve">Estrutura de um website, Linguagem HTML, Estrutura Básica de </t>
  </si>
  <si>
    <t>Página HTML, Semântica no HTML5 e Tags HTML</t>
  </si>
  <si>
    <t>Julho</t>
  </si>
  <si>
    <t>Agosto</t>
  </si>
  <si>
    <t>.</t>
  </si>
  <si>
    <t>|</t>
  </si>
  <si>
    <t>Criação de documento CSS</t>
  </si>
  <si>
    <t>Elementos estruturais CSS</t>
  </si>
  <si>
    <t xml:space="preserve"> Seletores e herança e estilização com classes</t>
  </si>
  <si>
    <t>Elementos de formatação e posicionamento e CSS Reset</t>
  </si>
  <si>
    <t xml:space="preserve">Elementos de Transição e animação; Responsividade </t>
  </si>
  <si>
    <t>Setembro</t>
  </si>
  <si>
    <t xml:space="preserve">Características da linguagem; Introdução a lógica de programação; </t>
  </si>
  <si>
    <t>Tag Script; Sintaxe Básica.</t>
  </si>
  <si>
    <t>Operadores; Tipos de dados; Comparadores lógicos;</t>
  </si>
  <si>
    <t>Blocos condicionais; Array</t>
  </si>
  <si>
    <t xml:space="preserve">Blocos de repetição; Funções; Console do navegador; </t>
  </si>
  <si>
    <t>Validação de formulário</t>
  </si>
  <si>
    <t>Outubro</t>
  </si>
  <si>
    <t xml:space="preserve">Edição de Imagens: Interface; Ferramentas; Painéis; Barra de </t>
  </si>
  <si>
    <t>Propriedades; Criação e Edição de Imagens.</t>
  </si>
  <si>
    <t xml:space="preserve">Fundamentos do Design: Características Básicas </t>
  </si>
  <si>
    <t xml:space="preserve">Desenvolvimento de Ilustrações: Desenhos geométricos, Logotipos, </t>
  </si>
  <si>
    <t>Layouts de páginas e funções.</t>
  </si>
  <si>
    <t xml:space="preserve">Animações e efeitos: Características da animação; Criação de animação </t>
  </si>
  <si>
    <t>em banner; Manipulação de animações</t>
  </si>
  <si>
    <t>Exportação de arquivos para páginas Web</t>
  </si>
  <si>
    <t>Novembro</t>
  </si>
  <si>
    <t>Dezembro</t>
  </si>
  <si>
    <t>Codificação e Programação de HTML, CSS e JavaSccript: Interface</t>
  </si>
  <si>
    <t>Estruturação de versionamento</t>
  </si>
  <si>
    <t>Janeiro</t>
  </si>
  <si>
    <t>MAURO DA SILVA JUNIOR</t>
  </si>
  <si>
    <t>Elaboração layout site do projeto com bootstrap</t>
  </si>
  <si>
    <t>12/012022</t>
  </si>
  <si>
    <t>Introdução ao Framework Angular</t>
  </si>
  <si>
    <t>Codificação e Programação de HTML, CSS e JavaSccript: Contrução</t>
  </si>
  <si>
    <t xml:space="preserve"> da Interface do Site em Angular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</si>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</sst>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b/>
      <sz val="7.5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sz val="7.5"/>
      <name val="Arial"/>
      <family val="2"/>
    </font>
    <font>
      <sz val="6.5"/>
      <name val="Arial"/>
      <family val="2"/>
    </font>
    <font>
      <b/>
      <sz val="6"/>
      <name val="Arial"/>
      <family val="2"/>
    </font>
    <font>
      <sz val="10"/>
      <name val="Calibri"/>
      <family val="2"/>
    </font>
    <font>
      <sz val="7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1"/>
      <color rgb="FFFF0000"/>
      <name val="Arial"/>
      <family val="2"/>
    </font>
    <font>
      <b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66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2" xfId="0" applyFont="1" applyBorder="1"/>
    <xf numFmtId="0" fontId="2" fillId="0" borderId="0" xfId="0" applyFont="1" applyBorder="1"/>
    <xf numFmtId="0" fontId="0" fillId="0" borderId="0" xfId="0" applyAlignment="1"/>
    <xf numFmtId="0" fontId="0" fillId="0" borderId="2" xfId="0" applyBorder="1" applyAlignment="1"/>
    <xf numFmtId="0" fontId="8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6" xfId="0" applyFont="1" applyBorder="1" applyProtection="1"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center"/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14" fillId="0" borderId="8" xfId="0" applyFont="1" applyBorder="1" applyAlignment="1" applyProtection="1">
      <alignment horizontal="center"/>
      <protection locked="0"/>
    </xf>
    <xf numFmtId="0" fontId="14" fillId="0" borderId="6" xfId="0" applyFont="1" applyBorder="1" applyAlignment="1" applyProtection="1">
      <alignment horizontal="center"/>
      <protection locked="0"/>
    </xf>
    <xf numFmtId="0" fontId="2" fillId="0" borderId="0" xfId="0" applyFont="1" applyProtection="1"/>
    <xf numFmtId="0" fontId="0" fillId="0" borderId="0" xfId="0" applyProtection="1"/>
    <xf numFmtId="0" fontId="10" fillId="0" borderId="5" xfId="0" applyFont="1" applyBorder="1" applyAlignment="1" applyProtection="1">
      <alignment horizontal="left" vertical="top"/>
    </xf>
    <xf numFmtId="0" fontId="10" fillId="0" borderId="5" xfId="0" applyFont="1" applyFill="1" applyBorder="1" applyAlignment="1" applyProtection="1">
      <alignment horizontal="left" vertical="top"/>
    </xf>
    <xf numFmtId="0" fontId="10" fillId="0" borderId="8" xfId="0" applyFont="1" applyBorder="1" applyProtection="1"/>
    <xf numFmtId="0" fontId="10" fillId="0" borderId="9" xfId="0" applyFont="1" applyBorder="1" applyProtection="1"/>
    <xf numFmtId="0" fontId="10" fillId="0" borderId="6" xfId="0" applyFont="1" applyBorder="1" applyAlignment="1" applyProtection="1">
      <alignment horizontal="left"/>
    </xf>
    <xf numFmtId="14" fontId="10" fillId="0" borderId="6" xfId="0" applyNumberFormat="1" applyFont="1" applyBorder="1" applyAlignment="1" applyProtection="1">
      <alignment horizontal="left"/>
    </xf>
    <xf numFmtId="0" fontId="10" fillId="0" borderId="7" xfId="0" applyFont="1" applyBorder="1" applyProtection="1"/>
    <xf numFmtId="0" fontId="10" fillId="0" borderId="3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12" xfId="0" applyFont="1" applyBorder="1" applyProtection="1"/>
    <xf numFmtId="0" fontId="10" fillId="0" borderId="13" xfId="0" applyFont="1" applyBorder="1" applyProtection="1"/>
    <xf numFmtId="0" fontId="2" fillId="0" borderId="1" xfId="0" applyFont="1" applyBorder="1" applyAlignment="1" applyProtection="1">
      <alignment horizontal="center"/>
    </xf>
    <xf numFmtId="0" fontId="8" fillId="0" borderId="1" xfId="0" applyFont="1" applyBorder="1" applyAlignment="1" applyProtection="1">
      <alignment horizontal="center"/>
    </xf>
    <xf numFmtId="0" fontId="8" fillId="0" borderId="5" xfId="0" applyFont="1" applyBorder="1" applyAlignment="1" applyProtection="1">
      <alignment horizontal="center"/>
    </xf>
    <xf numFmtId="0" fontId="8" fillId="0" borderId="6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15" fillId="0" borderId="0" xfId="0" applyFont="1" applyAlignment="1" applyProtection="1">
      <alignment horizontal="left"/>
    </xf>
    <xf numFmtId="0" fontId="8" fillId="0" borderId="0" xfId="0" applyFont="1" applyProtection="1"/>
    <xf numFmtId="0" fontId="0" fillId="0" borderId="0" xfId="0" applyBorder="1" applyProtection="1"/>
    <xf numFmtId="0" fontId="0" fillId="0" borderId="11" xfId="0" applyBorder="1" applyProtection="1"/>
    <xf numFmtId="0" fontId="15" fillId="0" borderId="0" xfId="0" applyFont="1" applyBorder="1" applyAlignment="1" applyProtection="1">
      <alignment horizontal="left" vertical="top"/>
    </xf>
    <xf numFmtId="0" fontId="2" fillId="0" borderId="0" xfId="0" applyFont="1" applyBorder="1" applyAlignment="1" applyProtection="1">
      <alignment vertical="top"/>
    </xf>
    <xf numFmtId="0" fontId="2" fillId="0" borderId="0" xfId="0" applyFont="1" applyBorder="1" applyProtection="1"/>
    <xf numFmtId="0" fontId="9" fillId="0" borderId="0" xfId="0" applyFont="1" applyBorder="1" applyProtection="1"/>
    <xf numFmtId="0" fontId="16" fillId="0" borderId="0" xfId="0" applyFont="1" applyAlignment="1" applyProtection="1">
      <alignment horizontal="left"/>
    </xf>
    <xf numFmtId="0" fontId="19" fillId="0" borderId="1" xfId="0" applyFont="1" applyBorder="1" applyAlignment="1">
      <alignment horizontal="left" indent="1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1" xfId="0" applyFont="1" applyFill="1" applyBorder="1" applyAlignment="1" applyProtection="1">
      <alignment horizontal="center"/>
      <protection locked="0"/>
    </xf>
    <xf numFmtId="0" fontId="14" fillId="0" borderId="14" xfId="0" applyFont="1" applyFill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14" fillId="0" borderId="4" xfId="0" applyFont="1" applyFill="1" applyBorder="1" applyAlignment="1" applyProtection="1">
      <alignment horizontal="center"/>
      <protection locked="0"/>
    </xf>
    <xf numFmtId="0" fontId="14" fillId="0" borderId="10" xfId="0" applyFont="1" applyFill="1" applyBorder="1" applyAlignment="1" applyProtection="1">
      <alignment horizontal="center"/>
      <protection locked="0"/>
    </xf>
    <xf numFmtId="0" fontId="14" fillId="0" borderId="12" xfId="0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8" fillId="0" borderId="1" xfId="0" applyFont="1" applyBorder="1"/>
    <xf numFmtId="0" fontId="21" fillId="0" borderId="1" xfId="0" applyFont="1" applyBorder="1" applyAlignment="1"/>
    <xf numFmtId="0" fontId="15" fillId="0" borderId="15" xfId="0" applyFont="1" applyBorder="1" applyAlignment="1" applyProtection="1">
      <alignment horizontal="left"/>
    </xf>
    <xf numFmtId="0" fontId="0" fillId="0" borderId="15" xfId="0" applyBorder="1" applyProtection="1"/>
    <xf numFmtId="0" fontId="18" fillId="0" borderId="5" xfId="0" applyFont="1" applyBorder="1" applyAlignment="1" applyProtection="1">
      <alignment horizontal="center" wrapText="1"/>
      <protection locked="0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 applyProtection="1">
      <alignment horizontal="center"/>
    </xf>
    <xf numFmtId="0" fontId="14" fillId="0" borderId="3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17" fontId="6" fillId="0" borderId="16" xfId="0" applyNumberFormat="1" applyFont="1" applyBorder="1" applyAlignment="1" applyProtection="1">
      <protection locked="0"/>
    </xf>
    <xf numFmtId="17" fontId="6" fillId="0" borderId="14" xfId="0" applyNumberFormat="1" applyFont="1" applyBorder="1" applyAlignment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14" fillId="0" borderId="14" xfId="0" applyFont="1" applyBorder="1" applyAlignment="1" applyProtection="1">
      <alignment horizontal="center"/>
      <protection locked="0"/>
    </xf>
    <xf numFmtId="14" fontId="14" fillId="0" borderId="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4" fillId="0" borderId="5" xfId="0" applyFont="1" applyBorder="1" applyProtection="1"/>
    <xf numFmtId="0" fontId="4" fillId="0" borderId="1" xfId="0" applyFont="1" applyBorder="1" applyProtection="1"/>
    <xf numFmtId="0" fontId="22" fillId="0" borderId="14" xfId="0" applyFont="1" applyBorder="1" applyAlignment="1" applyProtection="1">
      <alignment horizontal="center"/>
      <protection locked="0"/>
    </xf>
    <xf numFmtId="17" fontId="6" fillId="0" borderId="3" xfId="0" applyNumberFormat="1" applyFont="1" applyBorder="1" applyAlignment="1" applyProtection="1">
      <protection locked="0"/>
    </xf>
    <xf numFmtId="0" fontId="22" fillId="0" borderId="1" xfId="0" applyFont="1" applyBorder="1" applyAlignment="1" applyProtection="1">
      <protection locked="0"/>
    </xf>
    <xf numFmtId="0" fontId="0" fillId="3" borderId="1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6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>
      <alignment horizontal="right"/>
    </xf>
    <xf numFmtId="0" fontId="14" fillId="0" borderId="0" xfId="0" applyFont="1" applyFill="1" applyBorder="1" applyAlignment="1">
      <alignment horizontal="right" vertical="center"/>
    </xf>
    <xf numFmtId="0" fontId="0" fillId="0" borderId="0" xfId="0" applyFill="1"/>
    <xf numFmtId="0" fontId="4" fillId="0" borderId="6" xfId="0" applyFont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 wrapText="1"/>
      <protection locked="0"/>
    </xf>
    <xf numFmtId="14" fontId="2" fillId="0" borderId="1" xfId="0" applyNumberFormat="1" applyFont="1" applyBorder="1" applyAlignment="1">
      <alignment horizontal="center" vertical="center" wrapText="1"/>
    </xf>
    <xf numFmtId="0" fontId="10" fillId="0" borderId="9" xfId="0" applyFont="1" applyBorder="1" applyAlignment="1" applyProtection="1">
      <alignment horizontal="left"/>
    </xf>
    <xf numFmtId="0" fontId="10" fillId="0" borderId="3" xfId="0" applyFont="1" applyBorder="1" applyAlignment="1" applyProtection="1">
      <alignment horizontal="center" vertical="center" wrapText="1"/>
    </xf>
    <xf numFmtId="0" fontId="16" fillId="0" borderId="0" xfId="0" applyFont="1" applyAlignment="1" applyProtection="1">
      <alignment horizontal="left"/>
    </xf>
    <xf numFmtId="0" fontId="15" fillId="0" borderId="0" xfId="0" applyFont="1" applyBorder="1" applyAlignment="1" applyProtection="1">
      <alignment horizontal="left" vertical="top"/>
    </xf>
    <xf numFmtId="0" fontId="15" fillId="0" borderId="0" xfId="0" applyFont="1" applyAlignment="1" applyProtection="1">
      <alignment horizontal="left"/>
    </xf>
    <xf numFmtId="0" fontId="16" fillId="0" borderId="12" xfId="0" applyFont="1" applyBorder="1" applyAlignment="1" applyProtection="1">
      <alignment horizontal="left" vertical="top"/>
    </xf>
    <xf numFmtId="0" fontId="16" fillId="0" borderId="7" xfId="0" applyFont="1" applyBorder="1" applyAlignment="1" applyProtection="1">
      <alignment horizontal="left" vertical="top"/>
    </xf>
    <xf numFmtId="0" fontId="4" fillId="0" borderId="0" xfId="0" applyFont="1" applyProtection="1"/>
    <xf numFmtId="0" fontId="17" fillId="0" borderId="10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left"/>
    </xf>
    <xf numFmtId="0" fontId="4" fillId="0" borderId="1" xfId="0" applyFont="1" applyBorder="1" applyAlignment="1" applyProtection="1"/>
    <xf numFmtId="0" fontId="4" fillId="0" borderId="5" xfId="0" applyFont="1" applyBorder="1" applyAlignment="1" applyProtection="1"/>
    <xf numFmtId="0" fontId="10" fillId="0" borderId="9" xfId="0" applyFont="1" applyBorder="1" applyAlignment="1" applyProtection="1">
      <alignment horizontal="left"/>
    </xf>
    <xf numFmtId="0" fontId="10" fillId="0" borderId="3" xfId="0" applyFont="1" applyBorder="1" applyAlignment="1" applyProtection="1">
      <alignment horizontal="center" vertical="center" wrapText="1"/>
    </xf>
    <xf numFmtId="0" fontId="15" fillId="0" borderId="0" xfId="0" applyFont="1" applyAlignment="1" applyProtection="1">
      <alignment horizontal="left"/>
    </xf>
    <xf numFmtId="0" fontId="4" fillId="0" borderId="3" xfId="0" applyFont="1" applyBorder="1" applyProtection="1"/>
    <xf numFmtId="14" fontId="2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Protection="1"/>
    <xf numFmtId="0" fontId="21" fillId="0" borderId="1" xfId="0" applyFont="1" applyBorder="1" applyAlignment="1" applyProtection="1"/>
    <xf numFmtId="14" fontId="8" fillId="0" borderId="1" xfId="0" applyNumberFormat="1" applyFont="1" applyBorder="1" applyAlignment="1" applyProtection="1">
      <alignment horizontal="center" vertical="center" wrapText="1"/>
    </xf>
    <xf numFmtId="0" fontId="22" fillId="0" borderId="3" xfId="0" applyFont="1" applyBorder="1" applyAlignment="1" applyProtection="1">
      <alignment horizontal="center"/>
      <protection locked="0"/>
    </xf>
    <xf numFmtId="0" fontId="22" fillId="0" borderId="14" xfId="0" applyFont="1" applyBorder="1" applyAlignment="1" applyProtection="1">
      <alignment horizontal="center"/>
      <protection locked="0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0" borderId="18" xfId="0" applyFont="1" applyBorder="1" applyAlignment="1" applyProtection="1">
      <alignment horizontal="left" vertical="center" wrapText="1"/>
      <protection locked="0"/>
    </xf>
    <xf numFmtId="0" fontId="8" fillId="0" borderId="19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left" vertical="top"/>
    </xf>
    <xf numFmtId="0" fontId="10" fillId="0" borderId="13" xfId="0" applyFont="1" applyBorder="1" applyAlignment="1" applyProtection="1">
      <alignment horizontal="left" vertical="top"/>
    </xf>
    <xf numFmtId="0" fontId="10" fillId="0" borderId="7" xfId="0" applyFont="1" applyBorder="1" applyAlignment="1" applyProtection="1">
      <alignment horizontal="left" vertical="top"/>
    </xf>
    <xf numFmtId="14" fontId="3" fillId="0" borderId="9" xfId="0" applyNumberFormat="1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12" xfId="0" applyFont="1" applyBorder="1" applyAlignment="1" applyProtection="1">
      <alignment horizontal="center"/>
    </xf>
    <xf numFmtId="0" fontId="10" fillId="0" borderId="13" xfId="0" applyFont="1" applyBorder="1" applyAlignment="1" applyProtection="1">
      <alignment horizontal="center"/>
    </xf>
    <xf numFmtId="0" fontId="10" fillId="0" borderId="7" xfId="0" applyFont="1" applyBorder="1" applyAlignment="1" applyProtection="1">
      <alignment horizontal="center"/>
    </xf>
    <xf numFmtId="0" fontId="10" fillId="0" borderId="9" xfId="0" applyFont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7" fillId="0" borderId="2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vertical="center" wrapText="1"/>
    </xf>
    <xf numFmtId="0" fontId="10" fillId="0" borderId="12" xfId="0" applyFont="1" applyFill="1" applyBorder="1" applyAlignment="1" applyProtection="1">
      <alignment horizontal="center" vertical="top"/>
    </xf>
    <xf numFmtId="0" fontId="10" fillId="0" borderId="7" xfId="0" applyFont="1" applyFill="1" applyBorder="1" applyAlignment="1" applyProtection="1">
      <alignment horizontal="center" vertical="top"/>
    </xf>
    <xf numFmtId="14" fontId="13" fillId="0" borderId="9" xfId="0" applyNumberFormat="1" applyFont="1" applyFill="1" applyBorder="1" applyAlignment="1" applyProtection="1">
      <alignment horizontal="center"/>
    </xf>
    <xf numFmtId="14" fontId="13" fillId="0" borderId="8" xfId="0" applyNumberFormat="1" applyFont="1" applyFill="1" applyBorder="1" applyAlignment="1" applyProtection="1">
      <alignment horizontal="center"/>
    </xf>
    <xf numFmtId="14" fontId="10" fillId="0" borderId="12" xfId="0" applyNumberFormat="1" applyFont="1" applyBorder="1" applyAlignment="1" applyProtection="1">
      <alignment horizontal="center"/>
    </xf>
    <xf numFmtId="14" fontId="10" fillId="0" borderId="13" xfId="0" applyNumberFormat="1" applyFont="1" applyBorder="1" applyAlignment="1" applyProtection="1">
      <alignment horizontal="center"/>
    </xf>
    <xf numFmtId="14" fontId="10" fillId="0" borderId="7" xfId="0" applyNumberFormat="1" applyFont="1" applyBorder="1" applyAlignment="1" applyProtection="1">
      <alignment horizontal="center"/>
    </xf>
    <xf numFmtId="14" fontId="10" fillId="0" borderId="9" xfId="0" applyNumberFormat="1" applyFont="1" applyBorder="1" applyAlignment="1" applyProtection="1">
      <alignment horizontal="center"/>
    </xf>
    <xf numFmtId="14" fontId="10" fillId="0" borderId="11" xfId="0" applyNumberFormat="1" applyFont="1" applyBorder="1" applyAlignment="1" applyProtection="1">
      <alignment horizontal="center"/>
    </xf>
    <xf numFmtId="14" fontId="10" fillId="0" borderId="8" xfId="0" applyNumberFormat="1" applyFont="1" applyBorder="1" applyAlignment="1" applyProtection="1">
      <alignment horizontal="center"/>
    </xf>
    <xf numFmtId="0" fontId="10" fillId="0" borderId="2" xfId="0" applyFont="1" applyFill="1" applyBorder="1" applyAlignment="1" applyProtection="1">
      <alignment horizontal="left" vertical="top" wrapText="1"/>
    </xf>
    <xf numFmtId="0" fontId="10" fillId="0" borderId="0" xfId="0" applyFont="1" applyFill="1" applyBorder="1" applyAlignment="1" applyProtection="1">
      <alignment horizontal="left" vertical="top" wrapText="1"/>
    </xf>
    <xf numFmtId="0" fontId="10" fillId="0" borderId="10" xfId="0" applyFont="1" applyFill="1" applyBorder="1" applyAlignment="1" applyProtection="1">
      <alignment horizontal="left" vertical="top" wrapText="1"/>
    </xf>
    <xf numFmtId="0" fontId="10" fillId="0" borderId="9" xfId="0" applyFont="1" applyFill="1" applyBorder="1" applyAlignment="1" applyProtection="1">
      <alignment horizontal="left" vertical="top" wrapText="1"/>
    </xf>
    <xf numFmtId="0" fontId="10" fillId="0" borderId="11" xfId="0" applyFont="1" applyFill="1" applyBorder="1" applyAlignment="1" applyProtection="1">
      <alignment horizontal="left" vertical="top" wrapText="1"/>
    </xf>
    <xf numFmtId="0" fontId="10" fillId="0" borderId="8" xfId="0" applyFont="1" applyFill="1" applyBorder="1" applyAlignment="1" applyProtection="1">
      <alignment horizontal="left" vertical="top" wrapText="1"/>
    </xf>
    <xf numFmtId="0" fontId="10" fillId="0" borderId="2" xfId="0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7" fillId="0" borderId="9" xfId="0" applyFont="1" applyBorder="1" applyAlignment="1" applyProtection="1">
      <alignment horizontal="left" vertical="center" wrapText="1"/>
    </xf>
    <xf numFmtId="0" fontId="17" fillId="0" borderId="11" xfId="0" applyFont="1" applyBorder="1" applyAlignment="1" applyProtection="1">
      <alignment horizontal="left" vertical="center" wrapText="1"/>
    </xf>
    <xf numFmtId="0" fontId="17" fillId="0" borderId="8" xfId="0" applyFont="1" applyBorder="1" applyAlignment="1" applyProtection="1">
      <alignment horizontal="left" vertical="center" wrapText="1"/>
    </xf>
    <xf numFmtId="0" fontId="10" fillId="0" borderId="9" xfId="0" applyFont="1" applyBorder="1" applyAlignment="1" applyProtection="1">
      <alignment horizontal="left"/>
    </xf>
    <xf numFmtId="0" fontId="10" fillId="0" borderId="11" xfId="0" applyFont="1" applyBorder="1" applyAlignment="1" applyProtection="1">
      <alignment horizontal="left"/>
    </xf>
    <xf numFmtId="0" fontId="10" fillId="0" borderId="8" xfId="0" applyFont="1" applyBorder="1" applyAlignment="1" applyProtection="1">
      <alignment horizontal="left"/>
    </xf>
    <xf numFmtId="0" fontId="11" fillId="0" borderId="3" xfId="0" applyFont="1" applyBorder="1" applyAlignment="1" applyProtection="1">
      <alignment horizontal="center"/>
    </xf>
    <xf numFmtId="0" fontId="11" fillId="0" borderId="16" xfId="0" applyFont="1" applyBorder="1" applyAlignment="1" applyProtection="1">
      <alignment horizontal="center"/>
    </xf>
    <xf numFmtId="0" fontId="11" fillId="0" borderId="14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14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/>
    </xf>
    <xf numFmtId="0" fontId="13" fillId="0" borderId="8" xfId="0" applyFont="1" applyBorder="1" applyAlignment="1" applyProtection="1">
      <alignment horizontal="center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3" fillId="0" borderId="12" xfId="0" applyFont="1" applyBorder="1" applyAlignment="1" applyProtection="1">
      <alignment horizontal="center" vertical="center" wrapText="1"/>
    </xf>
    <xf numFmtId="0" fontId="13" fillId="0" borderId="13" xfId="0" applyFont="1" applyBorder="1" applyAlignment="1" applyProtection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13" fillId="0" borderId="11" xfId="0" applyFont="1" applyBorder="1" applyAlignment="1" applyProtection="1">
      <alignment horizontal="center" vertical="center" wrapText="1"/>
    </xf>
    <xf numFmtId="0" fontId="13" fillId="0" borderId="8" xfId="0" applyFont="1" applyBorder="1" applyAlignment="1" applyProtection="1">
      <alignment horizontal="center" vertical="center" wrapText="1"/>
    </xf>
    <xf numFmtId="0" fontId="10" fillId="0" borderId="12" xfId="0" applyFont="1" applyFill="1" applyBorder="1" applyAlignment="1" applyProtection="1">
      <alignment horizontal="left" vertical="top"/>
    </xf>
    <xf numFmtId="0" fontId="10" fillId="0" borderId="7" xfId="0" applyFont="1" applyFill="1" applyBorder="1" applyAlignment="1" applyProtection="1">
      <alignment horizontal="left" vertical="top"/>
    </xf>
    <xf numFmtId="0" fontId="10" fillId="0" borderId="2" xfId="0" applyFont="1" applyFill="1" applyBorder="1" applyAlignment="1" applyProtection="1">
      <alignment horizontal="center" vertical="top"/>
    </xf>
    <xf numFmtId="0" fontId="10" fillId="0" borderId="10" xfId="0" applyFont="1" applyFill="1" applyBorder="1" applyAlignment="1" applyProtection="1">
      <alignment horizontal="center" vertical="top"/>
    </xf>
    <xf numFmtId="0" fontId="10" fillId="0" borderId="5" xfId="0" applyFont="1" applyBorder="1" applyAlignment="1" applyProtection="1">
      <alignment horizontal="center"/>
    </xf>
    <xf numFmtId="0" fontId="10" fillId="0" borderId="6" xfId="0" applyFont="1" applyBorder="1" applyAlignment="1" applyProtection="1">
      <alignment horizontal="center"/>
    </xf>
    <xf numFmtId="0" fontId="13" fillId="0" borderId="0" xfId="0" applyFont="1" applyAlignment="1" applyProtection="1">
      <alignment horizontal="left"/>
    </xf>
    <xf numFmtId="0" fontId="4" fillId="0" borderId="0" xfId="0" applyFont="1" applyAlignment="1" applyProtection="1">
      <alignment horizontal="left"/>
    </xf>
    <xf numFmtId="0" fontId="10" fillId="0" borderId="9" xfId="0" applyFont="1" applyBorder="1" applyAlignment="1" applyProtection="1">
      <alignment horizontal="left" vertical="top"/>
    </xf>
    <xf numFmtId="0" fontId="10" fillId="0" borderId="8" xfId="0" applyFont="1" applyBorder="1" applyAlignment="1" applyProtection="1">
      <alignment horizontal="left" vertical="top"/>
    </xf>
    <xf numFmtId="0" fontId="3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10" fillId="0" borderId="13" xfId="0" applyFont="1" applyFill="1" applyBorder="1" applyAlignment="1" applyProtection="1">
      <alignment horizontal="left" vertical="top"/>
    </xf>
    <xf numFmtId="0" fontId="17" fillId="0" borderId="0" xfId="0" applyFont="1" applyBorder="1" applyAlignment="1" applyProtection="1">
      <alignment horizontal="right" vertical="center" wrapText="1"/>
    </xf>
    <xf numFmtId="0" fontId="8" fillId="0" borderId="1" xfId="0" applyFont="1" applyBorder="1" applyAlignment="1" applyProtection="1">
      <alignment horizontal="left"/>
    </xf>
    <xf numFmtId="0" fontId="4" fillId="0" borderId="13" xfId="0" applyFont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23" fillId="0" borderId="0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left" vertical="top"/>
    </xf>
    <xf numFmtId="0" fontId="12" fillId="0" borderId="0" xfId="0" applyFont="1" applyAlignment="1" applyProtection="1">
      <alignment horizontal="left"/>
    </xf>
    <xf numFmtId="0" fontId="15" fillId="0" borderId="0" xfId="0" applyFont="1" applyAlignment="1" applyProtection="1">
      <alignment horizontal="left"/>
    </xf>
    <xf numFmtId="0" fontId="4" fillId="0" borderId="1" xfId="0" applyFont="1" applyBorder="1" applyAlignment="1" applyProtection="1">
      <alignment horizontal="center" wrapText="1"/>
    </xf>
    <xf numFmtId="0" fontId="2" fillId="0" borderId="1" xfId="0" applyFont="1" applyBorder="1" applyAlignment="1" applyProtection="1">
      <alignment horizontal="center" wrapText="1"/>
    </xf>
    <xf numFmtId="0" fontId="8" fillId="0" borderId="3" xfId="0" applyFont="1" applyBorder="1" applyAlignment="1" applyProtection="1">
      <alignment horizontal="left"/>
    </xf>
    <xf numFmtId="0" fontId="8" fillId="0" borderId="14" xfId="0" applyFont="1" applyBorder="1" applyAlignment="1" applyProtection="1">
      <alignment horizontal="left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14" fontId="3" fillId="0" borderId="9" xfId="0" applyNumberFormat="1" applyFont="1" applyBorder="1" applyAlignment="1" applyProtection="1">
      <alignment horizontal="center" vertical="center"/>
    </xf>
    <xf numFmtId="14" fontId="3" fillId="0" borderId="11" xfId="0" applyNumberFormat="1" applyFont="1" applyBorder="1" applyAlignment="1" applyProtection="1">
      <alignment horizontal="center" vertical="center"/>
    </xf>
    <xf numFmtId="14" fontId="3" fillId="0" borderId="8" xfId="0" applyNumberFormat="1" applyFont="1" applyBorder="1" applyAlignment="1" applyProtection="1">
      <alignment horizontal="center" vertical="center"/>
    </xf>
    <xf numFmtId="0" fontId="2" fillId="0" borderId="22" xfId="0" applyFont="1" applyBorder="1" applyAlignment="1" applyProtection="1">
      <alignment horizontal="left" vertical="center" wrapText="1"/>
      <protection locked="0"/>
    </xf>
    <xf numFmtId="0" fontId="2" fillId="0" borderId="24" xfId="0" applyFont="1" applyBorder="1" applyAlignment="1" applyProtection="1">
      <alignment horizontal="left" vertical="center" wrapText="1"/>
      <protection locked="0"/>
    </xf>
    <xf numFmtId="0" fontId="2" fillId="0" borderId="25" xfId="0" applyFont="1" applyBorder="1" applyAlignment="1" applyProtection="1">
      <alignment horizontal="left" vertical="center" wrapText="1"/>
      <protection locked="0"/>
    </xf>
    <xf numFmtId="0" fontId="2" fillId="0" borderId="26" xfId="0" applyFont="1" applyBorder="1" applyAlignment="1" applyProtection="1">
      <alignment horizontal="left" vertical="center" wrapText="1"/>
      <protection locked="0"/>
    </xf>
    <xf numFmtId="0" fontId="2" fillId="0" borderId="27" xfId="0" applyFont="1" applyBorder="1" applyAlignment="1" applyProtection="1">
      <alignment horizontal="left" vertical="center" wrapText="1"/>
      <protection locked="0"/>
    </xf>
    <xf numFmtId="0" fontId="2" fillId="0" borderId="28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vertical="center" wrapText="1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10" fillId="0" borderId="2" xfId="0" applyFont="1" applyFill="1" applyBorder="1" applyAlignment="1" applyProtection="1">
      <alignment horizontal="left" vertical="top"/>
    </xf>
    <xf numFmtId="0" fontId="10" fillId="0" borderId="0" xfId="0" applyFont="1" applyFill="1" applyBorder="1" applyAlignment="1" applyProtection="1">
      <alignment horizontal="left" vertical="top"/>
    </xf>
    <xf numFmtId="0" fontId="10" fillId="0" borderId="10" xfId="0" applyFont="1" applyFill="1" applyBorder="1" applyAlignment="1" applyProtection="1">
      <alignment horizontal="left" vertical="top"/>
    </xf>
    <xf numFmtId="0" fontId="17" fillId="0" borderId="2" xfId="0" applyFont="1" applyBorder="1" applyAlignment="1" applyProtection="1">
      <alignment horizontal="left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2" fillId="0" borderId="29" xfId="0" applyFont="1" applyBorder="1" applyAlignment="1" applyProtection="1">
      <alignment horizontal="left" vertical="center" wrapText="1"/>
      <protection locked="0"/>
    </xf>
    <xf numFmtId="0" fontId="2" fillId="0" borderId="30" xfId="0" applyFont="1" applyBorder="1" applyAlignment="1" applyProtection="1">
      <alignment horizontal="left" vertical="center" wrapText="1"/>
      <protection locked="0"/>
    </xf>
    <xf numFmtId="0" fontId="2" fillId="0" borderId="3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16" fillId="0" borderId="12" xfId="0" applyFont="1" applyBorder="1" applyAlignment="1" applyProtection="1">
      <alignment horizontal="left"/>
    </xf>
    <xf numFmtId="0" fontId="16" fillId="0" borderId="13" xfId="0" applyFont="1" applyBorder="1" applyAlignment="1" applyProtection="1">
      <alignment horizontal="left"/>
    </xf>
    <xf numFmtId="0" fontId="16" fillId="0" borderId="7" xfId="0" applyFont="1" applyBorder="1" applyAlignment="1" applyProtection="1">
      <alignment horizontal="left"/>
    </xf>
    <xf numFmtId="0" fontId="20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17" fillId="0" borderId="0" xfId="0" applyFont="1" applyBorder="1" applyAlignment="1" applyProtection="1">
      <alignment horizontal="left" vertical="center" wrapText="1" indent="1"/>
    </xf>
    <xf numFmtId="0" fontId="10" fillId="0" borderId="7" xfId="0" applyFont="1" applyBorder="1" applyAlignment="1" applyProtection="1">
      <alignment horizontal="center" vertical="center" wrapText="1"/>
    </xf>
    <xf numFmtId="17" fontId="6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center" wrapText="1"/>
    </xf>
    <xf numFmtId="0" fontId="2" fillId="0" borderId="19" xfId="0" applyFont="1" applyBorder="1" applyAlignment="1" applyProtection="1">
      <alignment horizontal="left" vertical="center" wrapText="1"/>
    </xf>
    <xf numFmtId="0" fontId="2" fillId="0" borderId="20" xfId="0" applyFont="1" applyBorder="1" applyAlignment="1" applyProtection="1">
      <alignment horizontal="left" vertical="center" wrapText="1"/>
    </xf>
    <xf numFmtId="0" fontId="2" fillId="0" borderId="23" xfId="0" applyFont="1" applyBorder="1" applyAlignment="1" applyProtection="1">
      <alignment horizontal="left" vertical="center" wrapText="1"/>
      <protection locked="0"/>
    </xf>
    <xf numFmtId="17" fontId="6" fillId="0" borderId="3" xfId="0" applyNumberFormat="1" applyFont="1" applyBorder="1" applyAlignment="1" applyProtection="1">
      <alignment horizontal="center"/>
      <protection locked="0"/>
    </xf>
    <xf numFmtId="17" fontId="6" fillId="0" borderId="16" xfId="0" applyNumberFormat="1" applyFont="1" applyBorder="1" applyAlignment="1" applyProtection="1">
      <alignment horizontal="center"/>
      <protection locked="0"/>
    </xf>
    <xf numFmtId="17" fontId="6" fillId="0" borderId="14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wrapText="1"/>
    </xf>
    <xf numFmtId="0" fontId="0" fillId="0" borderId="16" xfId="0" applyBorder="1" applyAlignment="1" applyProtection="1">
      <alignment horizontal="center" wrapText="1"/>
    </xf>
    <xf numFmtId="0" fontId="0" fillId="0" borderId="14" xfId="0" applyBorder="1" applyAlignment="1" applyProtection="1">
      <alignment horizontal="center" wrapText="1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16" xfId="0" applyFont="1" applyBorder="1" applyAlignment="1" applyProtection="1">
      <alignment horizontal="left" vertical="center" wrapText="1"/>
      <protection locked="0"/>
    </xf>
    <xf numFmtId="0" fontId="8" fillId="0" borderId="14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</xf>
    <xf numFmtId="0" fontId="8" fillId="0" borderId="17" xfId="0" applyFont="1" applyBorder="1" applyAlignment="1" applyProtection="1">
      <alignment horizontal="left" vertical="center" wrapText="1"/>
    </xf>
    <xf numFmtId="0" fontId="8" fillId="0" borderId="22" xfId="0" applyFont="1" applyBorder="1" applyAlignment="1" applyProtection="1">
      <alignment horizontal="left" vertical="center" wrapText="1"/>
      <protection locked="0"/>
    </xf>
    <xf numFmtId="0" fontId="0" fillId="0" borderId="3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8" fillId="0" borderId="23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47625</xdr:rowOff>
    </xdr:from>
    <xdr:to>
      <xdr:col>7</xdr:col>
      <xdr:colOff>66675</xdr:colOff>
      <xdr:row>4</xdr:row>
      <xdr:rowOff>152400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 txBox="1">
          <a:spLocks noChangeArrowheads="1"/>
        </xdr:cNvSpPr>
      </xdr:nvSpPr>
      <xdr:spPr bwMode="auto">
        <a:xfrm>
          <a:off x="5114925" y="47625"/>
          <a:ext cx="3886200" cy="752475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pt-BR" sz="2200" b="1" i="0" strike="noStrike">
              <a:solidFill>
                <a:srgbClr val="FF0000"/>
              </a:solidFill>
              <a:latin typeface="Arial"/>
              <a:cs typeface="Arial"/>
            </a:rPr>
            <a:t>Diário Eletrônico para Cursos de Formação Continuada</a:t>
          </a:r>
        </a:p>
      </xdr:txBody>
    </xdr:sp>
    <xdr:clientData/>
  </xdr:twoCellAnchor>
  <xdr:twoCellAnchor>
    <xdr:from>
      <xdr:col>3</xdr:col>
      <xdr:colOff>342900</xdr:colOff>
      <xdr:row>5</xdr:row>
      <xdr:rowOff>0</xdr:rowOff>
    </xdr:from>
    <xdr:to>
      <xdr:col>3</xdr:col>
      <xdr:colOff>2705100</xdr:colOff>
      <xdr:row>14</xdr:row>
      <xdr:rowOff>0</xdr:rowOff>
    </xdr:to>
    <xdr:grpSp>
      <xdr:nvGrpSpPr>
        <xdr:cNvPr id="40385" name="Group 13">
          <a:extLst>
            <a:ext uri="{FF2B5EF4-FFF2-40B4-BE49-F238E27FC236}">
              <a16:creationId xmlns:a16="http://schemas.microsoft.com/office/drawing/2014/main" id="{00000000-0008-0000-0000-0000C19D0000}"/>
            </a:ext>
          </a:extLst>
        </xdr:cNvPr>
        <xdr:cNvGrpSpPr>
          <a:grpSpLocks/>
        </xdr:cNvGrpSpPr>
      </xdr:nvGrpSpPr>
      <xdr:grpSpPr bwMode="auto">
        <a:xfrm>
          <a:off x="5229225" y="809625"/>
          <a:ext cx="2362200" cy="1457325"/>
          <a:chOff x="614" y="88"/>
          <a:chExt cx="176" cy="153"/>
        </a:xfrm>
      </xdr:grpSpPr>
      <xdr:grpSp>
        <xdr:nvGrpSpPr>
          <xdr:cNvPr id="40388" name="Group 3">
            <a:extLst>
              <a:ext uri="{FF2B5EF4-FFF2-40B4-BE49-F238E27FC236}">
                <a16:creationId xmlns:a16="http://schemas.microsoft.com/office/drawing/2014/main" id="{00000000-0008-0000-0000-0000C49D0000}"/>
              </a:ext>
            </a:extLst>
          </xdr:cNvPr>
          <xdr:cNvGrpSpPr>
            <a:grpSpLocks/>
          </xdr:cNvGrpSpPr>
        </xdr:nvGrpSpPr>
        <xdr:grpSpPr bwMode="auto">
          <a:xfrm>
            <a:off x="614" y="88"/>
            <a:ext cx="176" cy="116"/>
            <a:chOff x="842" y="136"/>
            <a:chExt cx="176" cy="111"/>
          </a:xfrm>
        </xdr:grpSpPr>
        <xdr:sp macro="" textlink="">
          <xdr:nvSpPr>
            <xdr:cNvPr id="40390" name="AutoShape 4">
              <a:extLst>
                <a:ext uri="{FF2B5EF4-FFF2-40B4-BE49-F238E27FC236}">
                  <a16:creationId xmlns:a16="http://schemas.microsoft.com/office/drawing/2014/main" id="{00000000-0008-0000-0000-0000C69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76" y="173"/>
              <a:ext cx="52" cy="52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391" name="AutoShape 5">
              <a:extLst>
                <a:ext uri="{FF2B5EF4-FFF2-40B4-BE49-F238E27FC236}">
                  <a16:creationId xmlns:a16="http://schemas.microsoft.com/office/drawing/2014/main" id="{00000000-0008-0000-0000-0000C79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42" y="173"/>
              <a:ext cx="52" cy="52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392" name="AutoShape 6">
              <a:extLst>
                <a:ext uri="{FF2B5EF4-FFF2-40B4-BE49-F238E27FC236}">
                  <a16:creationId xmlns:a16="http://schemas.microsoft.com/office/drawing/2014/main" id="{00000000-0008-0000-0000-0000C89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4" y="181"/>
              <a:ext cx="36" cy="30"/>
            </a:xfrm>
            <a:prstGeom prst="upArrow">
              <a:avLst>
                <a:gd name="adj1" fmla="val 66667"/>
                <a:gd name="adj2" fmla="val 73333"/>
              </a:avLst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40393" name="Line 7">
              <a:extLst>
                <a:ext uri="{FF2B5EF4-FFF2-40B4-BE49-F238E27FC236}">
                  <a16:creationId xmlns:a16="http://schemas.microsoft.com/office/drawing/2014/main" id="{00000000-0008-0000-0000-0000C99D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57" y="177"/>
              <a:ext cx="0" cy="21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0394" name="Line 8">
              <a:extLst>
                <a:ext uri="{FF2B5EF4-FFF2-40B4-BE49-F238E27FC236}">
                  <a16:creationId xmlns:a16="http://schemas.microsoft.com/office/drawing/2014/main" id="{00000000-0008-0000-0000-0000CA9D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53" y="203"/>
              <a:ext cx="15" cy="19"/>
            </a:xfrm>
            <a:prstGeom prst="line">
              <a:avLst/>
            </a:prstGeom>
            <a:noFill/>
            <a:ln w="2857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05" name="Text Box 9">
              <a:extLst>
                <a:ext uri="{FF2B5EF4-FFF2-40B4-BE49-F238E27FC236}">
                  <a16:creationId xmlns:a16="http://schemas.microsoft.com/office/drawing/2014/main" id="{00000000-0008-0000-0000-0000091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0" y="151"/>
              <a:ext cx="80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Shift</a:t>
              </a:r>
            </a:p>
          </xdr:txBody>
        </xdr:sp>
        <xdr:sp macro="" textlink="">
          <xdr:nvSpPr>
            <xdr:cNvPr id="4106" name="Text Box 10">
              <a:extLst>
                <a:ext uri="{FF2B5EF4-FFF2-40B4-BE49-F238E27FC236}">
                  <a16:creationId xmlns:a16="http://schemas.microsoft.com/office/drawing/2014/main" id="{00000000-0008-0000-0000-00000A1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8" y="152"/>
              <a:ext cx="80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36576" tIns="22860" rIns="36576" bIns="0" anchor="t" upright="1"/>
            <a:lstStyle/>
            <a:p>
              <a:pPr algn="ctr" rtl="0">
                <a:defRPr sz="1000"/>
              </a:pPr>
              <a:r>
                <a:rPr lang="pt-BR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PIPE</a:t>
              </a:r>
            </a:p>
          </xdr:txBody>
        </xdr:sp>
        <xdr:sp macro="" textlink="">
          <xdr:nvSpPr>
            <xdr:cNvPr id="40397" name="AutoShape 11">
              <a:extLst>
                <a:ext uri="{FF2B5EF4-FFF2-40B4-BE49-F238E27FC236}">
                  <a16:creationId xmlns:a16="http://schemas.microsoft.com/office/drawing/2014/main" id="{00000000-0008-0000-0000-0000CD9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2" y="136"/>
              <a:ext cx="176" cy="111"/>
            </a:xfrm>
            <a:prstGeom prst="flowChartAlternateProcess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40389" name="Line 12">
            <a:extLst>
              <a:ext uri="{FF2B5EF4-FFF2-40B4-BE49-F238E27FC236}">
                <a16:creationId xmlns:a16="http://schemas.microsoft.com/office/drawing/2014/main" id="{00000000-0008-0000-0000-0000C59D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648" y="204"/>
            <a:ext cx="11" cy="37"/>
          </a:xfrm>
          <a:prstGeom prst="line">
            <a:avLst/>
          </a:prstGeom>
          <a:noFill/>
          <a:ln w="28575">
            <a:solidFill>
              <a:srgbClr val="FF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76200</xdr:colOff>
      <xdr:row>37</xdr:row>
      <xdr:rowOff>47625</xdr:rowOff>
    </xdr:from>
    <xdr:to>
      <xdr:col>9</xdr:col>
      <xdr:colOff>38100</xdr:colOff>
      <xdr:row>49</xdr:row>
      <xdr:rowOff>85725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SpPr>
          <a:spLocks noChangeArrowheads="1"/>
        </xdr:cNvSpPr>
      </xdr:nvSpPr>
      <xdr:spPr bwMode="auto">
        <a:xfrm>
          <a:off x="7553325" y="5067300"/>
          <a:ext cx="2638425" cy="1333500"/>
        </a:xfrm>
        <a:prstGeom prst="leftArrow">
          <a:avLst>
            <a:gd name="adj1" fmla="val 50000"/>
            <a:gd name="adj2" fmla="val 4946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t-BR" sz="1000" b="1" i="0" strike="noStrike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1" i="0" strike="noStrike">
              <a:solidFill>
                <a:srgbClr val="FF0000"/>
              </a:solidFill>
              <a:latin typeface="Arial"/>
              <a:cs typeface="Arial"/>
            </a:rPr>
            <a:t>Insira os dados iniciais nestes campos para visualizar em todas as capas.</a:t>
          </a:r>
        </a:p>
      </xdr:txBody>
    </xdr:sp>
    <xdr:clientData/>
  </xdr:twoCellAnchor>
  <xdr:twoCellAnchor>
    <xdr:from>
      <xdr:col>0</xdr:col>
      <xdr:colOff>123825</xdr:colOff>
      <xdr:row>4</xdr:row>
      <xdr:rowOff>66675</xdr:rowOff>
    </xdr:from>
    <xdr:to>
      <xdr:col>0</xdr:col>
      <xdr:colOff>990600</xdr:colOff>
      <xdr:row>19</xdr:row>
      <xdr:rowOff>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SpPr>
          <a:spLocks noChangeArrowheads="1"/>
        </xdr:cNvSpPr>
      </xdr:nvSpPr>
      <xdr:spPr bwMode="auto">
        <a:xfrm>
          <a:off x="123825" y="714375"/>
          <a:ext cx="866775" cy="2362200"/>
        </a:xfrm>
        <a:prstGeom prst="rightArrow">
          <a:avLst>
            <a:gd name="adj1" fmla="val 50000"/>
            <a:gd name="adj2" fmla="val 25000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FF0000"/>
              </a:solidFill>
              <a:latin typeface="Arial"/>
              <a:cs typeface="Arial"/>
            </a:rPr>
            <a:t>Insira nomes dos alunos para visualizar em todas as folhas de diário.</a:t>
          </a:r>
        </a:p>
      </xdr:txBody>
    </xdr:sp>
    <xdr:clientData/>
  </xdr:twoCellAnchor>
  <xdr:twoCellAnchor>
    <xdr:from>
      <xdr:col>4</xdr:col>
      <xdr:colOff>76200</xdr:colOff>
      <xdr:row>49</xdr:row>
      <xdr:rowOff>85725</xdr:rowOff>
    </xdr:from>
    <xdr:to>
      <xdr:col>9</xdr:col>
      <xdr:colOff>38100</xdr:colOff>
      <xdr:row>61</xdr:row>
      <xdr:rowOff>95250</xdr:rowOff>
    </xdr:to>
    <xdr:sp macro="" textlink="">
      <xdr:nvSpPr>
        <xdr:cNvPr id="16" name="AutoShape 1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8239125" y="8048625"/>
          <a:ext cx="2638425" cy="1981200"/>
        </a:xfrm>
        <a:prstGeom prst="leftArrow">
          <a:avLst>
            <a:gd name="adj1" fmla="val 50000"/>
            <a:gd name="adj2" fmla="val 49464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t-BR" sz="1000" b="1" i="0" strike="noStrike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1" i="0" strike="noStrike">
              <a:solidFill>
                <a:srgbClr val="FF0000"/>
              </a:solidFill>
              <a:latin typeface="Arial"/>
              <a:cs typeface="Arial"/>
            </a:rPr>
            <a:t>Insira os Componentes</a:t>
          </a:r>
          <a:r>
            <a:rPr lang="pt-BR" sz="1000" b="1" i="0" strike="noStrike" baseline="0">
              <a:solidFill>
                <a:srgbClr val="FF0000"/>
              </a:solidFill>
              <a:latin typeface="Arial"/>
              <a:cs typeface="Arial"/>
            </a:rPr>
            <a:t> Curriculares e suas cargas horárias do curso.</a:t>
          </a:r>
          <a:endParaRPr lang="pt-BR" sz="10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</xdr:colOff>
      <xdr:row>2</xdr:row>
      <xdr:rowOff>9525</xdr:rowOff>
    </xdr:from>
    <xdr:to>
      <xdr:col>5</xdr:col>
      <xdr:colOff>1590675</xdr:colOff>
      <xdr:row>45</xdr:row>
      <xdr:rowOff>19050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9525" y="333375"/>
          <a:ext cx="4676775" cy="6172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43</xdr:col>
      <xdr:colOff>9525</xdr:colOff>
      <xdr:row>34</xdr:row>
      <xdr:rowOff>1588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476500" y="333375"/>
          <a:ext cx="5724525" cy="48688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16</xdr:row>
      <xdr:rowOff>9525</xdr:rowOff>
    </xdr:from>
    <xdr:to>
      <xdr:col>43</xdr:col>
      <xdr:colOff>365961</xdr:colOff>
      <xdr:row>34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>
          <a:off x="8210550" y="2466975"/>
          <a:ext cx="346911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16</xdr:row>
      <xdr:rowOff>0</xdr:rowOff>
    </xdr:from>
    <xdr:to>
      <xdr:col>46</xdr:col>
      <xdr:colOff>501316</xdr:colOff>
      <xdr:row>34</xdr:row>
      <xdr:rowOff>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9201150" y="2457450"/>
          <a:ext cx="491791" cy="2743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16</xdr:row>
      <xdr:rowOff>19050</xdr:rowOff>
    </xdr:from>
    <xdr:to>
      <xdr:col>46</xdr:col>
      <xdr:colOff>0</xdr:colOff>
      <xdr:row>33</xdr:row>
      <xdr:rowOff>127000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>
          <a:off x="8829675" y="2476500"/>
          <a:ext cx="361950" cy="2698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9525</xdr:rowOff>
    </xdr:from>
    <xdr:to>
      <xdr:col>3</xdr:col>
      <xdr:colOff>0</xdr:colOff>
      <xdr:row>34</xdr:row>
      <xdr:rowOff>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0" y="2466975"/>
          <a:ext cx="2476500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16</xdr:row>
      <xdr:rowOff>19050</xdr:rowOff>
    </xdr:from>
    <xdr:to>
      <xdr:col>45</xdr:col>
      <xdr:colOff>4011</xdr:colOff>
      <xdr:row>34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8582025" y="2476500"/>
          <a:ext cx="242136" cy="2724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19</xdr:row>
      <xdr:rowOff>19050</xdr:rowOff>
    </xdr:from>
    <xdr:to>
      <xdr:col>5</xdr:col>
      <xdr:colOff>1590675</xdr:colOff>
      <xdr:row>45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2771775"/>
          <a:ext cx="4686300" cy="3724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142875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0" y="2447925"/>
          <a:ext cx="8286750" cy="275431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16</xdr:row>
      <xdr:rowOff>9525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8286750" y="2466975"/>
          <a:ext cx="356436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0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9286875" y="323850"/>
          <a:ext cx="491791" cy="4876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9525</xdr:colOff>
      <xdr:row>15</xdr:row>
      <xdr:rowOff>142875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8658225" y="2447925"/>
          <a:ext cx="236120" cy="27627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16</xdr:row>
      <xdr:rowOff>9525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8915400" y="2466975"/>
          <a:ext cx="355599" cy="27520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9</xdr:row>
      <xdr:rowOff>6569</xdr:rowOff>
    </xdr:from>
    <xdr:to>
      <xdr:col>6</xdr:col>
      <xdr:colOff>0</xdr:colOff>
      <xdr:row>45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346638"/>
          <a:ext cx="4709948" cy="52157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2457450"/>
          <a:ext cx="8286750" cy="27447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15</xdr:row>
      <xdr:rowOff>133350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8286750" y="2438400"/>
          <a:ext cx="356436" cy="2762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</xdr:colOff>
      <xdr:row>2</xdr:row>
      <xdr:rowOff>19050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9296400" y="342900"/>
          <a:ext cx="482266" cy="4857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16</xdr:row>
      <xdr:rowOff>9525</xdr:rowOff>
    </xdr:from>
    <xdr:to>
      <xdr:col>45</xdr:col>
      <xdr:colOff>9525</xdr:colOff>
      <xdr:row>34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648700" y="2466975"/>
          <a:ext cx="266700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19050</xdr:colOff>
      <xdr:row>16</xdr:row>
      <xdr:rowOff>19050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8924925" y="2476500"/>
          <a:ext cx="346074" cy="27425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17</xdr:row>
      <xdr:rowOff>133350</xdr:rowOff>
    </xdr:from>
    <xdr:to>
      <xdr:col>6</xdr:col>
      <xdr:colOff>0</xdr:colOff>
      <xdr:row>45</xdr:row>
      <xdr:rowOff>9525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2600325"/>
          <a:ext cx="4705350" cy="389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133350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0" y="2438400"/>
          <a:ext cx="8286750" cy="27638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16</xdr:row>
      <xdr:rowOff>9525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8296275" y="2466975"/>
          <a:ext cx="346911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</xdr:row>
      <xdr:rowOff>19050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9277350" y="342900"/>
          <a:ext cx="501316" cy="4857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9525</xdr:colOff>
      <xdr:row>16</xdr:row>
      <xdr:rowOff>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8658225" y="2457450"/>
          <a:ext cx="236120" cy="27532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16</xdr:row>
      <xdr:rowOff>9525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8905875" y="2466975"/>
          <a:ext cx="365124" cy="275205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28</xdr:row>
      <xdr:rowOff>9525</xdr:rowOff>
    </xdr:from>
    <xdr:to>
      <xdr:col>5</xdr:col>
      <xdr:colOff>1600200</xdr:colOff>
      <xdr:row>45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0" y="4048125"/>
          <a:ext cx="4695825" cy="2438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9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19050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0" y="2476500"/>
          <a:ext cx="8286750" cy="27257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16</xdr:row>
      <xdr:rowOff>0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8286750" y="2457450"/>
          <a:ext cx="356436" cy="2743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9277350" y="323850"/>
          <a:ext cx="501316" cy="4876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16</xdr:row>
      <xdr:rowOff>9525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8648700" y="2466975"/>
          <a:ext cx="245645" cy="27437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16</xdr:row>
      <xdr:rowOff>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CxnSpPr/>
      </xdr:nvCxnSpPr>
      <xdr:spPr>
        <a:xfrm>
          <a:off x="8905875" y="2457450"/>
          <a:ext cx="365124" cy="2761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B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9525</xdr:colOff>
      <xdr:row>27</xdr:row>
      <xdr:rowOff>9525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9525" y="3905250"/>
          <a:ext cx="4686300" cy="2571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B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8282</xdr:rowOff>
    </xdr:from>
    <xdr:to>
      <xdr:col>43</xdr:col>
      <xdr:colOff>9293</xdr:colOff>
      <xdr:row>33</xdr:row>
      <xdr:rowOff>148683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0" y="2426804"/>
          <a:ext cx="8209076" cy="26748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</xdr:colOff>
      <xdr:row>16</xdr:row>
      <xdr:rowOff>0</xdr:rowOff>
    </xdr:from>
    <xdr:to>
      <xdr:col>44</xdr:col>
      <xdr:colOff>9525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CxnSpPr/>
      </xdr:nvCxnSpPr>
      <xdr:spPr>
        <a:xfrm>
          <a:off x="8286750" y="2457450"/>
          <a:ext cx="390525" cy="2743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2</xdr:row>
      <xdr:rowOff>0</xdr:rowOff>
    </xdr:from>
    <xdr:to>
      <xdr:col>45</xdr:col>
      <xdr:colOff>9293</xdr:colOff>
      <xdr:row>34</xdr:row>
      <xdr:rowOff>4647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8716537" y="325244"/>
          <a:ext cx="264841" cy="49111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16</xdr:row>
      <xdr:rowOff>9525</xdr:rowOff>
    </xdr:from>
    <xdr:to>
      <xdr:col>46</xdr:col>
      <xdr:colOff>0</xdr:colOff>
      <xdr:row>33</xdr:row>
      <xdr:rowOff>148683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CxnSpPr/>
      </xdr:nvCxnSpPr>
      <xdr:spPr>
        <a:xfrm>
          <a:off x="8981610" y="2481379"/>
          <a:ext cx="362183" cy="27457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0</xdr:row>
          <xdr:rowOff>28575</xdr:rowOff>
        </xdr:from>
        <xdr:to>
          <xdr:col>10</xdr:col>
          <xdr:colOff>590550</xdr:colOff>
          <xdr:row>2</xdr:row>
          <xdr:rowOff>95250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D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18</xdr:row>
      <xdr:rowOff>19050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CxnSpPr/>
      </xdr:nvCxnSpPr>
      <xdr:spPr>
        <a:xfrm>
          <a:off x="19050" y="2628900"/>
          <a:ext cx="4676775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0" y="2457450"/>
          <a:ext cx="8286750" cy="27447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16</xdr:row>
      <xdr:rowOff>9525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>
          <a:off x="8277225" y="2466975"/>
          <a:ext cx="365961" cy="2733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16</xdr:row>
      <xdr:rowOff>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>
          <a:off x="8667750" y="2457450"/>
          <a:ext cx="245645" cy="27532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9525</xdr:colOff>
      <xdr:row>16</xdr:row>
      <xdr:rowOff>19050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CxnSpPr/>
      </xdr:nvCxnSpPr>
      <xdr:spPr>
        <a:xfrm>
          <a:off x="8934450" y="2476500"/>
          <a:ext cx="355599" cy="274253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F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18</xdr:row>
      <xdr:rowOff>19050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050" y="2628900"/>
          <a:ext cx="4676775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9525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9525" y="942975"/>
          <a:ext cx="8277225" cy="4259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5</xdr:row>
      <xdr:rowOff>142875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8296275" y="923925"/>
          <a:ext cx="346911" cy="4276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6</xdr:row>
      <xdr:rowOff>19050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8686800" y="952500"/>
          <a:ext cx="226595" cy="42581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6</xdr:row>
      <xdr:rowOff>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>
          <a:off x="8924925" y="933450"/>
          <a:ext cx="365124" cy="4285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18</xdr:row>
      <xdr:rowOff>19050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>
          <a:off x="19050" y="2628900"/>
          <a:ext cx="4676775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11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9525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9525" y="942975"/>
          <a:ext cx="8277225" cy="4259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5</xdr:row>
      <xdr:rowOff>142875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CxnSpPr/>
      </xdr:nvCxnSpPr>
      <xdr:spPr>
        <a:xfrm>
          <a:off x="8296275" y="923925"/>
          <a:ext cx="346911" cy="4276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6</xdr:row>
      <xdr:rowOff>19050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>
          <a:off x="8686800" y="952500"/>
          <a:ext cx="226595" cy="42581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6</xdr:row>
      <xdr:rowOff>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CxnSpPr/>
      </xdr:nvCxnSpPr>
      <xdr:spPr>
        <a:xfrm>
          <a:off x="8924925" y="933450"/>
          <a:ext cx="365124" cy="4285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3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18</xdr:row>
      <xdr:rowOff>19050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CxnSpPr/>
      </xdr:nvCxnSpPr>
      <xdr:spPr>
        <a:xfrm>
          <a:off x="19050" y="2628900"/>
          <a:ext cx="4676775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3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9525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9525" y="942975"/>
          <a:ext cx="8277225" cy="4259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5</xdr:row>
      <xdr:rowOff>142875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8296275" y="923925"/>
          <a:ext cx="346911" cy="4276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6</xdr:row>
      <xdr:rowOff>19050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>
          <a:off x="8686800" y="952500"/>
          <a:ext cx="226595" cy="42581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6</xdr:row>
      <xdr:rowOff>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CxnSpPr/>
      </xdr:nvCxnSpPr>
      <xdr:spPr>
        <a:xfrm>
          <a:off x="8924925" y="933450"/>
          <a:ext cx="365124" cy="4285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5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19050</xdr:colOff>
      <xdr:row>18</xdr:row>
      <xdr:rowOff>19050</xdr:rowOff>
    </xdr:from>
    <xdr:to>
      <xdr:col>5</xdr:col>
      <xdr:colOff>1600200</xdr:colOff>
      <xdr:row>44</xdr:row>
      <xdr:rowOff>152400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19050" y="2628900"/>
          <a:ext cx="4676775" cy="3848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</xdr:colOff>
          <xdr:row>0</xdr:row>
          <xdr:rowOff>28575</xdr:rowOff>
        </xdr:from>
        <xdr:to>
          <xdr:col>10</xdr:col>
          <xdr:colOff>561975</xdr:colOff>
          <xdr:row>2</xdr:row>
          <xdr:rowOff>95250</xdr:rowOff>
        </xdr:to>
        <xdr:sp macro="" textlink="">
          <xdr:nvSpPr>
            <xdr:cNvPr id="23554" name="Object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15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9525</xdr:rowOff>
    </xdr:from>
    <xdr:to>
      <xdr:col>43</xdr:col>
      <xdr:colOff>9525</xdr:colOff>
      <xdr:row>34</xdr:row>
      <xdr:rowOff>1588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>
          <a:off x="9525" y="942975"/>
          <a:ext cx="8277225" cy="4259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19050</xdr:colOff>
      <xdr:row>5</xdr:row>
      <xdr:rowOff>142875</xdr:rowOff>
    </xdr:from>
    <xdr:to>
      <xdr:col>43</xdr:col>
      <xdr:colOff>365961</xdr:colOff>
      <xdr:row>34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8296275" y="923925"/>
          <a:ext cx="346911" cy="4276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2</xdr:row>
      <xdr:rowOff>9525</xdr:rowOff>
    </xdr:from>
    <xdr:to>
      <xdr:col>46</xdr:col>
      <xdr:colOff>501316</xdr:colOff>
      <xdr:row>34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CxnSpPr/>
      </xdr:nvCxnSpPr>
      <xdr:spPr>
        <a:xfrm>
          <a:off x="9305925" y="333375"/>
          <a:ext cx="491791" cy="4867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19050</xdr:colOff>
      <xdr:row>6</xdr:row>
      <xdr:rowOff>19050</xdr:rowOff>
    </xdr:from>
    <xdr:to>
      <xdr:col>44</xdr:col>
      <xdr:colOff>245645</xdr:colOff>
      <xdr:row>34</xdr:row>
      <xdr:rowOff>10026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CxnSpPr/>
      </xdr:nvCxnSpPr>
      <xdr:spPr>
        <a:xfrm>
          <a:off x="8686800" y="952500"/>
          <a:ext cx="226595" cy="42581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0</xdr:colOff>
      <xdr:row>6</xdr:row>
      <xdr:rowOff>0</xdr:rowOff>
    </xdr:from>
    <xdr:to>
      <xdr:col>45</xdr:col>
      <xdr:colOff>365124</xdr:colOff>
      <xdr:row>34</xdr:row>
      <xdr:rowOff>18382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CxnSpPr/>
      </xdr:nvCxnSpPr>
      <xdr:spPr>
        <a:xfrm>
          <a:off x="8924925" y="933450"/>
          <a:ext cx="365124" cy="4285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6" Type="http://schemas.openxmlformats.org/officeDocument/2006/relationships/oleObject" Target="../embeddings/oleObject1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indexed="22"/>
  </sheetPr>
  <dimension ref="A1:H61"/>
  <sheetViews>
    <sheetView showGridLines="0" topLeftCell="C5" workbookViewId="0">
      <selection activeCell="C18" sqref="C18"/>
    </sheetView>
  </sheetViews>
  <sheetFormatPr defaultRowHeight="12.75" x14ac:dyDescent="0.2"/>
  <cols>
    <col min="1" max="1" width="15.7109375" customWidth="1"/>
    <col min="2" max="2" width="6.5703125" customWidth="1"/>
    <col min="3" max="3" width="51" customWidth="1"/>
    <col min="4" max="4" width="49.140625" customWidth="1"/>
    <col min="5" max="5" width="3.85546875" customWidth="1"/>
    <col min="6" max="6" width="3.5703125" customWidth="1"/>
    <col min="7" max="7" width="14.42578125" customWidth="1"/>
  </cols>
  <sheetData>
    <row r="1" spans="1:8" x14ac:dyDescent="0.2">
      <c r="A1" s="1"/>
      <c r="C1" s="1"/>
      <c r="D1" s="1"/>
    </row>
    <row r="2" spans="1:8" x14ac:dyDescent="0.2">
      <c r="B2" s="6" t="s">
        <v>28</v>
      </c>
      <c r="C2" s="7" t="s">
        <v>29</v>
      </c>
    </row>
    <row r="3" spans="1:8" x14ac:dyDescent="0.2">
      <c r="B3" s="2"/>
    </row>
    <row r="4" spans="1:8" ht="12.75" customHeight="1" x14ac:dyDescent="0.2">
      <c r="B4" s="3">
        <v>1</v>
      </c>
      <c r="C4" s="117" t="s">
        <v>83</v>
      </c>
    </row>
    <row r="5" spans="1:8" ht="12.75" customHeight="1" x14ac:dyDescent="0.2">
      <c r="B5" s="3">
        <v>2</v>
      </c>
      <c r="C5" s="117" t="s">
        <v>84</v>
      </c>
    </row>
    <row r="6" spans="1:8" ht="12.75" customHeight="1" x14ac:dyDescent="0.2">
      <c r="B6" s="3">
        <v>3</v>
      </c>
      <c r="C6" s="118" t="s">
        <v>85</v>
      </c>
    </row>
    <row r="7" spans="1:8" ht="12.75" customHeight="1" x14ac:dyDescent="0.2">
      <c r="B7" s="3">
        <v>4</v>
      </c>
      <c r="C7" s="118" t="s">
        <v>86</v>
      </c>
    </row>
    <row r="8" spans="1:8" ht="12.75" customHeight="1" x14ac:dyDescent="0.2">
      <c r="B8" s="3">
        <v>5</v>
      </c>
      <c r="C8" s="118" t="s">
        <v>87</v>
      </c>
    </row>
    <row r="9" spans="1:8" ht="12.75" customHeight="1" x14ac:dyDescent="0.2">
      <c r="B9" s="3">
        <v>6</v>
      </c>
      <c r="C9" s="118" t="s">
        <v>88</v>
      </c>
    </row>
    <row r="10" spans="1:8" ht="12.75" customHeight="1" x14ac:dyDescent="0.2">
      <c r="B10" s="3">
        <v>7</v>
      </c>
      <c r="C10" s="117" t="s">
        <v>89</v>
      </c>
    </row>
    <row r="11" spans="1:8" ht="12.75" customHeight="1" x14ac:dyDescent="0.2">
      <c r="B11" s="3">
        <v>8</v>
      </c>
      <c r="C11" s="118" t="s">
        <v>90</v>
      </c>
    </row>
    <row r="12" spans="1:8" ht="12.75" customHeight="1" x14ac:dyDescent="0.2">
      <c r="B12" s="3">
        <v>9</v>
      </c>
      <c r="C12" s="118" t="s">
        <v>91</v>
      </c>
    </row>
    <row r="13" spans="1:8" ht="12.75" customHeight="1" x14ac:dyDescent="0.2">
      <c r="B13" s="3">
        <v>10</v>
      </c>
      <c r="C13" s="118" t="s">
        <v>92</v>
      </c>
    </row>
    <row r="14" spans="1:8" ht="12.75" customHeight="1" x14ac:dyDescent="0.2">
      <c r="B14" s="3">
        <v>11</v>
      </c>
      <c r="C14" s="118" t="s">
        <v>131</v>
      </c>
    </row>
    <row r="15" spans="1:8" ht="12.75" customHeight="1" x14ac:dyDescent="0.2">
      <c r="B15" s="3">
        <v>12</v>
      </c>
      <c r="C15" s="117" t="s">
        <v>93</v>
      </c>
      <c r="D15" s="125" t="s">
        <v>32</v>
      </c>
      <c r="E15" s="125"/>
      <c r="F15" s="125"/>
      <c r="G15" s="125"/>
      <c r="H15" s="125"/>
    </row>
    <row r="16" spans="1:8" ht="12.75" customHeight="1" x14ac:dyDescent="0.2">
      <c r="B16" s="3">
        <v>13</v>
      </c>
      <c r="C16" s="118" t="s">
        <v>94</v>
      </c>
      <c r="D16" s="125"/>
      <c r="E16" s="125"/>
      <c r="F16" s="125"/>
      <c r="G16" s="125"/>
      <c r="H16" s="125"/>
    </row>
    <row r="17" spans="2:8" ht="12.75" customHeight="1" x14ac:dyDescent="0.2">
      <c r="B17" s="3">
        <v>14</v>
      </c>
      <c r="C17" s="118" t="s">
        <v>95</v>
      </c>
      <c r="D17" s="125"/>
      <c r="E17" s="125"/>
      <c r="F17" s="125"/>
      <c r="G17" s="125"/>
      <c r="H17" s="125"/>
    </row>
    <row r="18" spans="2:8" ht="12.75" customHeight="1" x14ac:dyDescent="0.2">
      <c r="B18" s="3">
        <v>15</v>
      </c>
      <c r="C18" s="60"/>
      <c r="D18" s="125"/>
      <c r="E18" s="125"/>
      <c r="F18" s="125"/>
      <c r="G18" s="125"/>
      <c r="H18" s="125"/>
    </row>
    <row r="19" spans="2:8" ht="12.75" customHeight="1" x14ac:dyDescent="0.2">
      <c r="B19" s="3">
        <v>16</v>
      </c>
      <c r="C19" s="59"/>
      <c r="D19" s="125"/>
      <c r="E19" s="125"/>
      <c r="F19" s="125"/>
      <c r="G19" s="125"/>
      <c r="H19" s="125"/>
    </row>
    <row r="20" spans="2:8" ht="12.75" customHeight="1" x14ac:dyDescent="0.2">
      <c r="B20" s="3">
        <v>17</v>
      </c>
      <c r="C20" s="60"/>
      <c r="D20" s="125"/>
      <c r="E20" s="125"/>
      <c r="F20" s="125"/>
      <c r="G20" s="125"/>
      <c r="H20" s="125"/>
    </row>
    <row r="21" spans="2:8" ht="12.75" customHeight="1" x14ac:dyDescent="0.2">
      <c r="B21" s="3">
        <v>18</v>
      </c>
      <c r="C21" s="60"/>
      <c r="D21" s="125"/>
      <c r="E21" s="125"/>
      <c r="F21" s="125"/>
      <c r="G21" s="125"/>
      <c r="H21" s="125"/>
    </row>
    <row r="22" spans="2:8" ht="12.75" customHeight="1" x14ac:dyDescent="0.2">
      <c r="B22" s="3">
        <v>19</v>
      </c>
      <c r="C22" s="60"/>
      <c r="D22" s="125"/>
      <c r="E22" s="125"/>
      <c r="F22" s="125"/>
      <c r="G22" s="125"/>
      <c r="H22" s="125"/>
    </row>
    <row r="23" spans="2:8" ht="12.75" customHeight="1" x14ac:dyDescent="0.2">
      <c r="B23" s="3">
        <v>20</v>
      </c>
      <c r="C23" s="60"/>
      <c r="D23" s="125"/>
      <c r="E23" s="125"/>
      <c r="F23" s="125"/>
      <c r="G23" s="125"/>
      <c r="H23" s="125"/>
    </row>
    <row r="24" spans="2:8" ht="12.75" customHeight="1" x14ac:dyDescent="0.2">
      <c r="B24" s="3">
        <v>21</v>
      </c>
      <c r="C24" s="59"/>
      <c r="D24" s="125"/>
      <c r="E24" s="125"/>
      <c r="F24" s="125"/>
      <c r="G24" s="125"/>
      <c r="H24" s="125"/>
    </row>
    <row r="25" spans="2:8" ht="12.75" customHeight="1" x14ac:dyDescent="0.2">
      <c r="B25" s="3">
        <v>22</v>
      </c>
      <c r="C25" s="50"/>
      <c r="D25" s="125"/>
      <c r="E25" s="125"/>
      <c r="F25" s="125"/>
      <c r="G25" s="125"/>
      <c r="H25" s="125"/>
    </row>
    <row r="26" spans="2:8" ht="12.75" customHeight="1" x14ac:dyDescent="0.2">
      <c r="B26" s="3">
        <v>23</v>
      </c>
      <c r="C26" s="50"/>
      <c r="D26" s="125"/>
      <c r="E26" s="125"/>
      <c r="F26" s="125"/>
      <c r="G26" s="125"/>
      <c r="H26" s="125"/>
    </row>
    <row r="27" spans="2:8" ht="12.75" customHeight="1" x14ac:dyDescent="0.2">
      <c r="B27" s="3">
        <v>24</v>
      </c>
      <c r="C27" s="50"/>
      <c r="D27" s="125"/>
      <c r="E27" s="125"/>
      <c r="F27" s="125"/>
      <c r="G27" s="125"/>
      <c r="H27" s="125"/>
    </row>
    <row r="28" spans="2:8" ht="12.75" customHeight="1" x14ac:dyDescent="0.2">
      <c r="B28" s="3">
        <v>25</v>
      </c>
      <c r="C28" s="50"/>
      <c r="D28" s="125"/>
      <c r="E28" s="125"/>
      <c r="F28" s="125"/>
      <c r="G28" s="125"/>
      <c r="H28" s="125"/>
    </row>
    <row r="29" spans="2:8" x14ac:dyDescent="0.2">
      <c r="B29" s="3">
        <v>26</v>
      </c>
      <c r="C29" s="50"/>
    </row>
    <row r="30" spans="2:8" x14ac:dyDescent="0.2">
      <c r="B30" s="3">
        <v>27</v>
      </c>
      <c r="C30" s="50"/>
    </row>
    <row r="31" spans="2:8" x14ac:dyDescent="0.2">
      <c r="B31" s="3">
        <v>28</v>
      </c>
      <c r="C31" s="50"/>
    </row>
    <row r="32" spans="2:8" x14ac:dyDescent="0.2">
      <c r="B32" s="3">
        <v>29</v>
      </c>
      <c r="C32" s="50"/>
    </row>
    <row r="33" spans="1:4" x14ac:dyDescent="0.2">
      <c r="B33" s="3">
        <v>30</v>
      </c>
      <c r="C33" s="8"/>
    </row>
    <row r="34" spans="1:4" x14ac:dyDescent="0.2">
      <c r="B34" s="3">
        <v>31</v>
      </c>
      <c r="C34" s="8"/>
    </row>
    <row r="35" spans="1:4" x14ac:dyDescent="0.2">
      <c r="B35" s="3">
        <v>32</v>
      </c>
      <c r="C35" s="8"/>
    </row>
    <row r="37" spans="1:4" ht="15" x14ac:dyDescent="0.25">
      <c r="A37" s="94"/>
      <c r="B37" s="122"/>
      <c r="C37" s="120" t="s">
        <v>63</v>
      </c>
      <c r="D37" s="121"/>
    </row>
    <row r="38" spans="1:4" x14ac:dyDescent="0.2">
      <c r="A38" s="94"/>
      <c r="B38" s="123"/>
      <c r="C38" s="90" t="s">
        <v>30</v>
      </c>
      <c r="D38" s="78" t="s">
        <v>64</v>
      </c>
    </row>
    <row r="39" spans="1:4" x14ac:dyDescent="0.2">
      <c r="A39" s="94"/>
      <c r="B39" s="123"/>
      <c r="C39" s="90" t="s">
        <v>56</v>
      </c>
      <c r="D39" s="81">
        <v>44461</v>
      </c>
    </row>
    <row r="40" spans="1:4" x14ac:dyDescent="0.2">
      <c r="A40" s="94"/>
      <c r="B40" s="123"/>
      <c r="C40" s="90" t="s">
        <v>31</v>
      </c>
      <c r="D40" s="78" t="s">
        <v>65</v>
      </c>
    </row>
    <row r="41" spans="1:4" x14ac:dyDescent="0.2">
      <c r="A41" s="94"/>
      <c r="B41" s="123"/>
      <c r="C41" s="91" t="s">
        <v>57</v>
      </c>
      <c r="D41" s="78" t="s">
        <v>66</v>
      </c>
    </row>
    <row r="42" spans="1:4" x14ac:dyDescent="0.2">
      <c r="A42" s="94"/>
      <c r="B42" s="123"/>
      <c r="C42" s="92" t="s">
        <v>12</v>
      </c>
      <c r="D42" s="69" t="s">
        <v>67</v>
      </c>
    </row>
    <row r="43" spans="1:4" x14ac:dyDescent="0.2">
      <c r="A43" s="94"/>
      <c r="B43" s="123"/>
      <c r="C43" s="93" t="s">
        <v>58</v>
      </c>
      <c r="D43" s="81">
        <v>44405</v>
      </c>
    </row>
    <row r="44" spans="1:4" x14ac:dyDescent="0.2">
      <c r="A44" s="94"/>
      <c r="B44" s="123"/>
      <c r="C44" s="93" t="s">
        <v>59</v>
      </c>
      <c r="D44" s="82">
        <v>44602</v>
      </c>
    </row>
    <row r="45" spans="1:4" x14ac:dyDescent="0.2">
      <c r="A45" s="95"/>
      <c r="B45" s="123"/>
      <c r="C45" s="93" t="s">
        <v>60</v>
      </c>
      <c r="D45" s="83" t="s">
        <v>68</v>
      </c>
    </row>
    <row r="46" spans="1:4" x14ac:dyDescent="0.2">
      <c r="A46" s="95"/>
      <c r="B46" s="123"/>
      <c r="C46" s="93" t="s">
        <v>60</v>
      </c>
      <c r="D46" s="83" t="s">
        <v>69</v>
      </c>
    </row>
    <row r="47" spans="1:4" x14ac:dyDescent="0.2">
      <c r="A47" s="95"/>
      <c r="B47" s="123"/>
      <c r="C47" s="93" t="s">
        <v>60</v>
      </c>
      <c r="D47" s="14"/>
    </row>
    <row r="48" spans="1:4" x14ac:dyDescent="0.2">
      <c r="A48" s="95"/>
      <c r="B48" s="123"/>
      <c r="C48" s="93" t="s">
        <v>60</v>
      </c>
      <c r="D48" s="14"/>
    </row>
    <row r="49" spans="1:4" x14ac:dyDescent="0.2">
      <c r="A49" s="94"/>
      <c r="B49" s="123"/>
      <c r="C49" s="93" t="s">
        <v>61</v>
      </c>
      <c r="D49" s="84">
        <v>160</v>
      </c>
    </row>
    <row r="50" spans="1:4" x14ac:dyDescent="0.2">
      <c r="A50" s="94"/>
      <c r="B50" s="123"/>
      <c r="C50" s="93" t="s">
        <v>62</v>
      </c>
      <c r="D50" s="78" t="s">
        <v>70</v>
      </c>
    </row>
    <row r="51" spans="1:4" ht="15" x14ac:dyDescent="0.25">
      <c r="A51" s="94"/>
      <c r="B51" s="123"/>
      <c r="C51" s="89" t="s">
        <v>50</v>
      </c>
      <c r="D51" s="87" t="s">
        <v>51</v>
      </c>
    </row>
    <row r="52" spans="1:4" x14ac:dyDescent="0.2">
      <c r="A52" s="96"/>
      <c r="B52" s="123"/>
      <c r="C52" s="71" t="s">
        <v>71</v>
      </c>
      <c r="D52" s="78">
        <v>30</v>
      </c>
    </row>
    <row r="53" spans="1:4" x14ac:dyDescent="0.2">
      <c r="A53" s="96"/>
      <c r="B53" s="123"/>
      <c r="C53" s="71" t="s">
        <v>72</v>
      </c>
      <c r="D53" s="78">
        <v>20</v>
      </c>
    </row>
    <row r="54" spans="1:4" x14ac:dyDescent="0.2">
      <c r="B54" s="123"/>
      <c r="C54" s="71" t="s">
        <v>73</v>
      </c>
      <c r="D54" s="78">
        <v>20</v>
      </c>
    </row>
    <row r="55" spans="1:4" x14ac:dyDescent="0.2">
      <c r="B55" s="123"/>
      <c r="C55" s="71" t="s">
        <v>74</v>
      </c>
      <c r="D55" s="78">
        <v>40</v>
      </c>
    </row>
    <row r="56" spans="1:4" x14ac:dyDescent="0.2">
      <c r="B56" s="123"/>
      <c r="C56" s="71" t="s">
        <v>75</v>
      </c>
      <c r="D56" s="78">
        <v>50</v>
      </c>
    </row>
    <row r="57" spans="1:4" x14ac:dyDescent="0.2">
      <c r="B57" s="123"/>
      <c r="C57" s="71"/>
      <c r="D57" s="68"/>
    </row>
    <row r="58" spans="1:4" x14ac:dyDescent="0.2">
      <c r="B58" s="123"/>
      <c r="C58" s="71"/>
      <c r="D58" s="68"/>
    </row>
    <row r="59" spans="1:4" x14ac:dyDescent="0.2">
      <c r="B59" s="123"/>
      <c r="C59" s="71"/>
      <c r="D59" s="68"/>
    </row>
    <row r="60" spans="1:4" x14ac:dyDescent="0.2">
      <c r="B60" s="123"/>
      <c r="C60" s="71"/>
      <c r="D60" s="68"/>
    </row>
    <row r="61" spans="1:4" x14ac:dyDescent="0.2">
      <c r="B61" s="124"/>
      <c r="C61" s="71"/>
      <c r="D61" s="68"/>
    </row>
  </sheetData>
  <sheetProtection sheet="1" objects="1" scenarios="1"/>
  <protectedRanges>
    <protectedRange sqref="C52:D61" name="Intervalo3"/>
    <protectedRange sqref="D38:D50" name="Intervalo2"/>
    <protectedRange sqref="C4:C35" name="Intervalo1"/>
  </protectedRanges>
  <mergeCells count="3">
    <mergeCell ref="C37:D37"/>
    <mergeCell ref="B37:B61"/>
    <mergeCell ref="D15:H28"/>
  </mergeCells>
  <phoneticPr fontId="2" type="noConversion"/>
  <printOptions horizontalCentered="1" verticalCentered="1"/>
  <pageMargins left="0.39370078740157483" right="0.19685039370078741" top="0.98425196850393704" bottom="0.19685039370078741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tabColor theme="3" tint="0.59999389629810485"/>
    <pageSetUpPr fitToPage="1"/>
  </sheetPr>
  <dimension ref="A1:S50"/>
  <sheetViews>
    <sheetView showGridLines="0" topLeftCell="A23" zoomScaleNormal="100" workbookViewId="0">
      <selection activeCell="N45" sqref="N45:P45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04" t="s">
        <v>78</v>
      </c>
      <c r="M1" s="204"/>
      <c r="N1" s="204"/>
      <c r="O1" s="204"/>
      <c r="P1" s="204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05" t="s">
        <v>43</v>
      </c>
      <c r="M2" s="205"/>
      <c r="N2" s="205"/>
      <c r="O2" s="205"/>
      <c r="P2" s="205"/>
    </row>
    <row r="3" spans="1:16" ht="11.25" customHeight="1" x14ac:dyDescent="0.2">
      <c r="A3" s="64"/>
      <c r="B3" s="14"/>
      <c r="C3" s="129"/>
      <c r="D3" s="129"/>
      <c r="E3" s="129"/>
      <c r="F3" s="129"/>
      <c r="G3" s="11"/>
      <c r="H3" s="10"/>
      <c r="I3" s="23"/>
      <c r="J3" s="23"/>
      <c r="K3" s="23"/>
      <c r="L3" s="205" t="s">
        <v>46</v>
      </c>
      <c r="M3" s="205"/>
      <c r="N3" s="205"/>
      <c r="O3" s="205"/>
      <c r="P3" s="205"/>
    </row>
    <row r="4" spans="1:16" ht="11.25" customHeight="1" x14ac:dyDescent="0.2">
      <c r="A4" s="64"/>
      <c r="B4" s="14"/>
      <c r="C4" s="129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129"/>
      <c r="D5" s="129"/>
      <c r="E5" s="129"/>
      <c r="F5" s="129"/>
      <c r="G5" s="12"/>
      <c r="H5" s="13"/>
      <c r="I5" s="208" t="s">
        <v>41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129"/>
      <c r="D6" s="129"/>
      <c r="E6" s="129"/>
      <c r="F6" s="129"/>
      <c r="G6" s="12"/>
      <c r="H6" s="13"/>
      <c r="I6" s="209" t="str">
        <f>DADOS_GERAIS!D41</f>
        <v>Qualificação Profissional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129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129"/>
      <c r="D9" s="129"/>
      <c r="E9" s="129"/>
      <c r="F9" s="129"/>
      <c r="G9" s="4"/>
      <c r="H9" s="5"/>
      <c r="I9" s="206"/>
      <c r="J9" s="207"/>
      <c r="K9" s="178" t="s">
        <v>42</v>
      </c>
      <c r="L9" s="180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5"/>
      <c r="B10" s="14"/>
      <c r="C10" s="133"/>
      <c r="D10" s="134"/>
      <c r="E10" s="134"/>
      <c r="F10" s="135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129"/>
      <c r="D11" s="129"/>
      <c r="E11" s="129"/>
      <c r="F11" s="129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5"/>
      <c r="B12" s="14"/>
      <c r="C12" s="129"/>
      <c r="D12" s="129"/>
      <c r="E12" s="129"/>
      <c r="F12" s="129"/>
      <c r="G12" s="4"/>
      <c r="H12" s="5"/>
      <c r="I12" s="198" t="s">
        <v>12</v>
      </c>
      <c r="J12" s="210"/>
      <c r="K12" s="210"/>
      <c r="L12" s="210"/>
      <c r="M12" s="210"/>
      <c r="N12" s="210"/>
      <c r="O12" s="210"/>
      <c r="P12" s="199"/>
    </row>
    <row r="13" spans="1:16" ht="11.25" customHeight="1" x14ac:dyDescent="0.2">
      <c r="A13" s="64"/>
      <c r="B13" s="14"/>
      <c r="C13" s="129"/>
      <c r="D13" s="129"/>
      <c r="E13" s="129"/>
      <c r="F13" s="129"/>
      <c r="G13" s="4"/>
      <c r="H13" s="5"/>
      <c r="I13" s="166" t="str">
        <f>DADOS_GERAIS!D42</f>
        <v>DIOGO TAKAMORI BARBOSA</v>
      </c>
      <c r="J13" s="167"/>
      <c r="K13" s="167"/>
      <c r="L13" s="167"/>
      <c r="M13" s="167"/>
      <c r="N13" s="167"/>
      <c r="O13" s="167"/>
      <c r="P13" s="168"/>
    </row>
    <row r="14" spans="1:16" ht="11.25" customHeight="1" x14ac:dyDescent="0.2">
      <c r="A14" s="64"/>
      <c r="B14" s="14"/>
      <c r="C14" s="130"/>
      <c r="D14" s="131"/>
      <c r="E14" s="131"/>
      <c r="F14" s="132"/>
      <c r="G14" s="4"/>
      <c r="H14" s="5"/>
      <c r="I14" s="166"/>
      <c r="J14" s="167"/>
      <c r="K14" s="167"/>
      <c r="L14" s="167"/>
      <c r="M14" s="167"/>
      <c r="N14" s="167"/>
      <c r="O14" s="167"/>
      <c r="P14" s="168"/>
    </row>
    <row r="15" spans="1:16" ht="11.25" customHeight="1" x14ac:dyDescent="0.2">
      <c r="A15" s="64"/>
      <c r="B15" s="14"/>
      <c r="C15" s="129"/>
      <c r="D15" s="129"/>
      <c r="E15" s="129"/>
      <c r="F15" s="129"/>
      <c r="G15" s="4"/>
      <c r="H15" s="5"/>
      <c r="I15" s="169"/>
      <c r="J15" s="170"/>
      <c r="K15" s="170"/>
      <c r="L15" s="170"/>
      <c r="M15" s="170"/>
      <c r="N15" s="170"/>
      <c r="O15" s="170"/>
      <c r="P15" s="171"/>
    </row>
    <row r="16" spans="1:16" ht="11.25" customHeight="1" x14ac:dyDescent="0.2">
      <c r="A16" s="64"/>
      <c r="B16" s="14"/>
      <c r="C16" s="126"/>
      <c r="D16" s="126"/>
      <c r="E16" s="126"/>
      <c r="F16" s="126"/>
      <c r="G16" s="4"/>
      <c r="H16" s="5"/>
      <c r="I16" s="198" t="s">
        <v>49</v>
      </c>
      <c r="J16" s="199"/>
      <c r="K16" s="140" t="s">
        <v>19</v>
      </c>
      <c r="L16" s="141"/>
      <c r="M16" s="141"/>
      <c r="N16" s="141"/>
      <c r="O16" s="141"/>
      <c r="P16" s="142"/>
    </row>
    <row r="17" spans="1:16" ht="11.25" customHeight="1" x14ac:dyDescent="0.2">
      <c r="A17" s="64"/>
      <c r="B17" s="14"/>
      <c r="C17" s="129"/>
      <c r="D17" s="129"/>
      <c r="E17" s="129"/>
      <c r="F17" s="129"/>
      <c r="G17" s="4"/>
      <c r="H17" s="5"/>
      <c r="I17" s="158">
        <f>DADOS_GERAIS!D43</f>
        <v>44405</v>
      </c>
      <c r="J17" s="159"/>
      <c r="K17" s="154" t="str">
        <f>IF(DADOS_GERAIS!D45="","",DADOS_GERAIS!D45)</f>
        <v>Quarta-feira - 19:00 Até 22:00</v>
      </c>
      <c r="L17" s="155"/>
      <c r="M17" s="211" t="str">
        <f>IF(DADOS_GERAIS!D48="","",DADOS_GERAIS!D48)</f>
        <v/>
      </c>
      <c r="N17" s="211"/>
      <c r="O17" s="211"/>
      <c r="P17" s="108"/>
    </row>
    <row r="18" spans="1:16" ht="11.25" customHeight="1" x14ac:dyDescent="0.2">
      <c r="A18" s="64"/>
      <c r="B18" s="14"/>
      <c r="C18" s="126"/>
      <c r="D18" s="126"/>
      <c r="E18" s="126"/>
      <c r="F18" s="126"/>
      <c r="G18" s="4"/>
      <c r="H18" s="5"/>
      <c r="I18" s="156" t="s">
        <v>48</v>
      </c>
      <c r="J18" s="157"/>
      <c r="K18" s="154" t="str">
        <f>IF(DADOS_GERAIS!D46="","",DADOS_GERAIS!D46)</f>
        <v>Quinta-feira - 19:00 Até 22:00</v>
      </c>
      <c r="L18" s="155"/>
      <c r="M18" s="211"/>
      <c r="N18" s="211"/>
      <c r="O18" s="211"/>
      <c r="P18" s="108"/>
    </row>
    <row r="19" spans="1:16" ht="11.25" customHeight="1" x14ac:dyDescent="0.2">
      <c r="A19" s="64"/>
      <c r="B19" s="14"/>
      <c r="C19" s="126"/>
      <c r="D19" s="126"/>
      <c r="E19" s="126"/>
      <c r="F19" s="126"/>
      <c r="G19" s="4"/>
      <c r="H19" s="5"/>
      <c r="I19" s="200" t="s">
        <v>1</v>
      </c>
      <c r="J19" s="201"/>
      <c r="K19" s="154" t="str">
        <f>IF(DADOS_GERAIS!D47="","",DADOS_GERAIS!D47)</f>
        <v/>
      </c>
      <c r="L19" s="155"/>
      <c r="M19" s="211"/>
      <c r="N19" s="211"/>
      <c r="O19" s="211"/>
      <c r="P19" s="108"/>
    </row>
    <row r="20" spans="1:16" ht="11.25" customHeight="1" x14ac:dyDescent="0.2">
      <c r="A20" s="64"/>
      <c r="B20" s="14"/>
      <c r="C20" s="126"/>
      <c r="D20" s="126"/>
      <c r="E20" s="126"/>
      <c r="F20" s="126"/>
      <c r="G20" s="4"/>
      <c r="H20" s="5"/>
      <c r="I20" s="158">
        <f>DADOS_GERAIS!D44</f>
        <v>44602</v>
      </c>
      <c r="J20" s="159"/>
      <c r="K20" s="175" t="str">
        <f>IF(DADOS_GERAIS!D48="","",DADOS_GERAIS!D48)</f>
        <v/>
      </c>
      <c r="L20" s="176"/>
      <c r="M20" s="176"/>
      <c r="N20" s="176"/>
      <c r="O20" s="176"/>
      <c r="P20" s="177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40" t="s">
        <v>20</v>
      </c>
      <c r="J21" s="142"/>
      <c r="K21" s="140" t="s">
        <v>21</v>
      </c>
      <c r="L21" s="141"/>
      <c r="M21" s="141"/>
      <c r="N21" s="141"/>
      <c r="O21" s="141"/>
      <c r="P21" s="142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87">
        <f>DADOS_GERAIS!D49</f>
        <v>160</v>
      </c>
      <c r="J22" s="188"/>
      <c r="K22" s="178" t="str">
        <f>DADOS_GERAIS!D50</f>
        <v>Osmair Paes Landin</v>
      </c>
      <c r="L22" s="179"/>
      <c r="M22" s="179"/>
      <c r="N22" s="179"/>
      <c r="O22" s="179"/>
      <c r="P22" s="180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1" t="s">
        <v>22</v>
      </c>
      <c r="J23" s="182"/>
      <c r="K23" s="182"/>
      <c r="L23" s="182"/>
      <c r="M23" s="182"/>
      <c r="N23" s="182"/>
      <c r="O23" s="182"/>
      <c r="P23" s="183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48"/>
      <c r="J24" s="149"/>
      <c r="K24" s="149"/>
      <c r="L24" s="149"/>
      <c r="M24" s="149"/>
      <c r="N24" s="149"/>
      <c r="O24" s="149"/>
      <c r="P24" s="150"/>
    </row>
    <row r="25" spans="1:16" ht="11.25" customHeight="1" x14ac:dyDescent="0.2">
      <c r="A25" s="64"/>
      <c r="B25" s="14"/>
      <c r="C25" s="136"/>
      <c r="D25" s="136"/>
      <c r="E25" s="136"/>
      <c r="F25" s="136"/>
      <c r="G25" s="4"/>
      <c r="H25" s="5"/>
      <c r="I25" s="172"/>
      <c r="J25" s="173"/>
      <c r="K25" s="173"/>
      <c r="L25" s="173"/>
      <c r="M25" s="173"/>
      <c r="N25" s="173"/>
      <c r="O25" s="173"/>
      <c r="P25" s="174"/>
    </row>
    <row r="26" spans="1:16" ht="11.25" customHeight="1" x14ac:dyDescent="0.2">
      <c r="A26" s="64"/>
      <c r="B26" s="14"/>
      <c r="C26" s="136"/>
      <c r="D26" s="136"/>
      <c r="E26" s="136"/>
      <c r="F26" s="13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36"/>
      <c r="D27" s="136"/>
      <c r="E27" s="136"/>
      <c r="F27" s="13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36"/>
      <c r="D28" s="136"/>
      <c r="E28" s="136"/>
      <c r="F28" s="13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36"/>
      <c r="D29" s="136"/>
      <c r="E29" s="136"/>
      <c r="F29" s="13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36"/>
      <c r="D30" s="136"/>
      <c r="E30" s="136"/>
      <c r="F30" s="13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9" t="s">
        <v>24</v>
      </c>
      <c r="J31" s="190"/>
      <c r="K31" s="191"/>
      <c r="L31" s="32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160" t="s">
        <v>37</v>
      </c>
      <c r="J32" s="161"/>
      <c r="K32" s="162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/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160" t="s">
        <v>37</v>
      </c>
      <c r="J34" s="161"/>
      <c r="K34" s="162"/>
      <c r="L34" s="202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/>
      <c r="J35" s="164"/>
      <c r="K35" s="165"/>
      <c r="L35" s="203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160" t="s">
        <v>37</v>
      </c>
      <c r="J36" s="161"/>
      <c r="K36" s="162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/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160" t="s">
        <v>37</v>
      </c>
      <c r="J38" s="161"/>
      <c r="K38" s="162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/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160" t="s">
        <v>37</v>
      </c>
      <c r="J40" s="161"/>
      <c r="K40" s="162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/>
      <c r="J41" s="164"/>
      <c r="K41" s="165"/>
      <c r="L41" s="147"/>
      <c r="M41" s="203"/>
      <c r="N41" s="151"/>
      <c r="O41" s="152"/>
      <c r="P41" s="153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160" t="s">
        <v>37</v>
      </c>
      <c r="J42" s="161"/>
      <c r="K42" s="162"/>
      <c r="L42" s="146"/>
      <c r="M42" s="202"/>
      <c r="N42" s="148"/>
      <c r="O42" s="149"/>
      <c r="P42" s="150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/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79</v>
      </c>
      <c r="J44" s="141"/>
      <c r="K44" s="142"/>
      <c r="L44" s="140" t="s">
        <v>80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143">
        <f>IF(A3="",DADOS_GERAIS!D43,A3)</f>
        <v>44405</v>
      </c>
      <c r="J45" s="144"/>
      <c r="K45" s="145"/>
      <c r="L45" s="143">
        <f ca="1">IF(A3="",DADOS_GERAIS!D44,OFFSET(A3,COUNT(B:B)*2-2,0))</f>
        <v>44602</v>
      </c>
      <c r="M45" s="144"/>
      <c r="N45" s="137">
        <f>SUM('UC1-frente'!N45,'UC2-frente'!N45,'UC3-frente'!N45,'UC4-frente'!N45,'UC5-frente'!N45,'UC6-frente'!N45,'UC7-frente'!N45,'UC8-frente'!N45,'UC9-frente'!N45,'UC10-frente'!N45)</f>
        <v>147</v>
      </c>
      <c r="O45" s="138"/>
      <c r="P45" s="139"/>
    </row>
    <row r="50" spans="6:6" x14ac:dyDescent="0.2">
      <c r="F50" t="s">
        <v>44</v>
      </c>
    </row>
  </sheetData>
  <sheetProtection sheet="1" scenarios="1"/>
  <mergeCells count="113">
    <mergeCell ref="M42:M43"/>
    <mergeCell ref="M17:O17"/>
    <mergeCell ref="M18:O18"/>
    <mergeCell ref="M19:O19"/>
    <mergeCell ref="M32:M33"/>
    <mergeCell ref="L32:L33"/>
    <mergeCell ref="L34:L35"/>
    <mergeCell ref="M34:M35"/>
    <mergeCell ref="M36:M37"/>
    <mergeCell ref="I11:P11"/>
    <mergeCell ref="K9:L9"/>
    <mergeCell ref="M9:N9"/>
    <mergeCell ref="L1:P1"/>
    <mergeCell ref="L2:P2"/>
    <mergeCell ref="L3:P3"/>
    <mergeCell ref="I9:J9"/>
    <mergeCell ref="I36:K37"/>
    <mergeCell ref="I38:K39"/>
    <mergeCell ref="K8:L8"/>
    <mergeCell ref="M8:N8"/>
    <mergeCell ref="I5:P5"/>
    <mergeCell ref="K19:L19"/>
    <mergeCell ref="I17:J17"/>
    <mergeCell ref="I6:P6"/>
    <mergeCell ref="I10:P10"/>
    <mergeCell ref="I8:J8"/>
    <mergeCell ref="I12:P12"/>
    <mergeCell ref="K16:P16"/>
    <mergeCell ref="M38:M39"/>
    <mergeCell ref="I42:K43"/>
    <mergeCell ref="I13:P15"/>
    <mergeCell ref="I24:P28"/>
    <mergeCell ref="K20:P20"/>
    <mergeCell ref="K22:P22"/>
    <mergeCell ref="N32:P33"/>
    <mergeCell ref="N34:P35"/>
    <mergeCell ref="N36:P37"/>
    <mergeCell ref="N38:P39"/>
    <mergeCell ref="N40:P41"/>
    <mergeCell ref="I23:P23"/>
    <mergeCell ref="K21:P21"/>
    <mergeCell ref="N31:P31"/>
    <mergeCell ref="I22:J22"/>
    <mergeCell ref="I31:K31"/>
    <mergeCell ref="L36:L37"/>
    <mergeCell ref="L38:L39"/>
    <mergeCell ref="I21:J21"/>
    <mergeCell ref="I29:P30"/>
    <mergeCell ref="I32:K33"/>
    <mergeCell ref="I34:K35"/>
    <mergeCell ref="I16:J16"/>
    <mergeCell ref="I19:J19"/>
    <mergeCell ref="M40:M41"/>
    <mergeCell ref="C34:F34"/>
    <mergeCell ref="C33:F33"/>
    <mergeCell ref="C29:F29"/>
    <mergeCell ref="C30:F30"/>
    <mergeCell ref="C32:F32"/>
    <mergeCell ref="C16:F16"/>
    <mergeCell ref="C20:F20"/>
    <mergeCell ref="N45:P45"/>
    <mergeCell ref="N44:P44"/>
    <mergeCell ref="L45:M45"/>
    <mergeCell ref="L44:M44"/>
    <mergeCell ref="I45:K45"/>
    <mergeCell ref="L40:L41"/>
    <mergeCell ref="L42:L43"/>
    <mergeCell ref="I44:K44"/>
    <mergeCell ref="N42:P43"/>
    <mergeCell ref="C45:F45"/>
    <mergeCell ref="K17:L17"/>
    <mergeCell ref="K18:L18"/>
    <mergeCell ref="I18:J18"/>
    <mergeCell ref="I20:J20"/>
    <mergeCell ref="C21:F21"/>
    <mergeCell ref="C17:F17"/>
    <mergeCell ref="I40:K41"/>
    <mergeCell ref="C27:F27"/>
    <mergeCell ref="C28:F28"/>
    <mergeCell ref="C31:F31"/>
    <mergeCell ref="C19:F19"/>
    <mergeCell ref="C22:F22"/>
    <mergeCell ref="C25:F25"/>
    <mergeCell ref="C26:F26"/>
    <mergeCell ref="C23:F23"/>
    <mergeCell ref="C24:F24"/>
    <mergeCell ref="A1:A2"/>
    <mergeCell ref="B1:B2"/>
    <mergeCell ref="C1:F2"/>
    <mergeCell ref="C3:F3"/>
    <mergeCell ref="C18:F18"/>
    <mergeCell ref="C4:F4"/>
    <mergeCell ref="C5:F5"/>
    <mergeCell ref="C6:F6"/>
    <mergeCell ref="C7:F7"/>
    <mergeCell ref="C15:F15"/>
    <mergeCell ref="C8:F8"/>
    <mergeCell ref="C9:F9"/>
    <mergeCell ref="C11:F11"/>
    <mergeCell ref="C12:F12"/>
    <mergeCell ref="C13:F13"/>
    <mergeCell ref="C14:F14"/>
    <mergeCell ref="C10:F10"/>
    <mergeCell ref="C43:F43"/>
    <mergeCell ref="C35:F35"/>
    <mergeCell ref="C36:F36"/>
    <mergeCell ref="C37:F37"/>
    <mergeCell ref="C44:F44"/>
    <mergeCell ref="C42:F42"/>
    <mergeCell ref="C39:F39"/>
    <mergeCell ref="C41:F41"/>
    <mergeCell ref="C40:F40"/>
    <mergeCell ref="C38:F38"/>
  </mergeCells>
  <phoneticPr fontId="2" type="noConversion"/>
  <conditionalFormatting sqref="I6:P6 O9:P9 I11 I17:J17 I20:J20 I22:K22 I45:P45 I13">
    <cfRule type="cellIs" dxfId="21" priority="2" operator="equal">
      <formula>0</formula>
    </cfRule>
  </conditionalFormatting>
  <conditionalFormatting sqref="N45:P45">
    <cfRule type="cellIs" dxfId="20" priority="1" operator="notEqual">
      <formula>$I$22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7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tabColor rgb="FFFF0000"/>
    <pageSetUpPr fitToPage="1"/>
  </sheetPr>
  <dimension ref="A1:AU51"/>
  <sheetViews>
    <sheetView showGridLines="0" topLeftCell="A22" zoomScale="140" zoomScaleNormal="140" workbookViewId="0">
      <selection activeCell="AR6" sqref="AR6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3.140625" style="24" customWidth="1"/>
    <col min="4" max="43" width="2.140625" style="24" customWidth="1"/>
    <col min="44" max="44" width="5.570312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x14ac:dyDescent="0.2">
      <c r="A1" s="219" t="s">
        <v>2</v>
      </c>
      <c r="B1" s="220" t="s">
        <v>3</v>
      </c>
      <c r="C1" s="110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111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109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SUM(IF('UC1-frente'!$I$13='UC2-frente'!$I$13,0,'UC1-verso'!AR3),IF('UC2-frente'!$I$13='UC3-frente'!$I$13,0,'UC2-verso'!AR3),IF('UC3-frente'!$I$13='UC4-frente'!$I$13,0,'UC3-verso'!AR3),IF('UC4-frente'!$I$13='UC5-frente'!$I$13,0,'UC4-verso'!AR3),IF('UC5-frente'!$I$13='UC6-frente'!$I$13,0,'UC5-verso'!AR3),IF('UC6-frente'!$I$13='UC7-frente'!$I$13,0,'UC6-verso'!AR3),IF('UC7-frente'!$I$13='UC8-frente'!$I$13,0,'UC7-verso'!AR3),IF('UC8-frente'!$I$13='UC9-frente'!$I$13,0,'UC8-verso'!AR3),IF('UC9-frente'!$I$13='UC10-frente'!$I$13,0,'UC9-verso'!AR3),'UC10-verso'!AR3))</f>
        <v>27</v>
      </c>
      <c r="AS3" s="36">
        <f>IF(AR3="","",AVERAGE('UC1-verso'!AS3,'UC2-verso'!AS3,'UC3-verso'!AS3,'UC4-verso'!AS3,'UC5-verso'!AS3,'UC6-verso'!AS3,'UC7-verso'!AS3,'UC8-verso'!AS3,'UC9-verso'!AS3,'UC10-verso'!AS3))</f>
        <v>77.5</v>
      </c>
      <c r="AT3" s="37">
        <f>A3</f>
        <v>1</v>
      </c>
      <c r="AU3" s="66" t="str">
        <f>IF(AS3="","",IF(OR(AS3&lt;50,AR3&gt;((DADOS_GERAIS!D$49)/4)),"N","C"))</f>
        <v>C</v>
      </c>
    </row>
    <row r="4" spans="1:47" ht="12" customHeight="1" x14ac:dyDescent="0.2">
      <c r="A4" s="109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SUM(IF('UC1-frente'!$I$13='UC2-frente'!$I$13,0,'UC1-verso'!AR4),IF('UC2-frente'!$I$13='UC3-frente'!$I$13,0,'UC2-verso'!AR4),IF('UC3-frente'!$I$13='UC4-frente'!$I$13,0,'UC3-verso'!AR4),IF('UC4-frente'!$I$13='UC5-frente'!$I$13,0,'UC4-verso'!AR4),IF('UC5-frente'!$I$13='UC6-frente'!$I$13,0,'UC5-verso'!AR4),IF('UC6-frente'!$I$13='UC7-frente'!$I$13,0,'UC6-verso'!AR4),IF('UC7-frente'!$I$13='UC8-frente'!$I$13,0,'UC7-verso'!AR4),IF('UC8-frente'!$I$13='UC9-frente'!$I$13,0,'UC8-verso'!AR4),IF('UC9-frente'!$I$13='UC10-frente'!$I$13,0,'UC9-verso'!AR4),'UC10-verso'!AR4))</f>
        <v>87</v>
      </c>
      <c r="AS4" s="36">
        <f>IF(AR4="","",AVERAGE('UC1-verso'!AS4,'UC2-verso'!AS4,'UC3-verso'!AS4,'UC4-verso'!AS4,'UC5-verso'!AS4,'UC6-verso'!AS4,'UC7-verso'!AS4,'UC8-verso'!AS4,'UC9-verso'!AS4,'UC10-verso'!AS4))</f>
        <v>62.5</v>
      </c>
      <c r="AT4" s="37">
        <f t="shared" ref="AT4:AT34" si="0">A4</f>
        <v>2</v>
      </c>
      <c r="AU4" s="66" t="str">
        <f>IF(AS4="","",IF(OR(AS4&lt;50,AR4&gt;((DADOS_GERAIS!D$49)/4)),"N","C"))</f>
        <v>N</v>
      </c>
    </row>
    <row r="5" spans="1:47" ht="12" customHeight="1" x14ac:dyDescent="0.2">
      <c r="A5" s="109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SUM(IF('UC1-frente'!$I$13='UC2-frente'!$I$13,0,'UC1-verso'!AR5),IF('UC2-frente'!$I$13='UC3-frente'!$I$13,0,'UC2-verso'!AR5),IF('UC3-frente'!$I$13='UC4-frente'!$I$13,0,'UC3-verso'!AR5),IF('UC4-frente'!$I$13='UC5-frente'!$I$13,0,'UC4-verso'!AR5),IF('UC5-frente'!$I$13='UC6-frente'!$I$13,0,'UC5-verso'!AR5),IF('UC6-frente'!$I$13='UC7-frente'!$I$13,0,'UC6-verso'!AR5),IF('UC7-frente'!$I$13='UC8-frente'!$I$13,0,'UC7-verso'!AR5),IF('UC8-frente'!$I$13='UC9-frente'!$I$13,0,'UC8-verso'!AR5),IF('UC9-frente'!$I$13='UC10-frente'!$I$13,0,'UC9-verso'!AR5),'UC10-verso'!AR5))</f>
        <v>39</v>
      </c>
      <c r="AS5" s="36">
        <f>IF(AR5="","",AVERAGE('UC1-verso'!AS5,'UC2-verso'!AS5,'UC3-verso'!AS5,'UC4-verso'!AS5,'UC5-verso'!AS5,'UC6-verso'!AS5,'UC7-verso'!AS5,'UC8-verso'!AS5,'UC9-verso'!AS5,'UC10-verso'!AS5))</f>
        <v>76.25</v>
      </c>
      <c r="AT5" s="37">
        <f t="shared" si="0"/>
        <v>3</v>
      </c>
      <c r="AU5" s="66" t="str">
        <f>IF(AS5="","",IF(OR(AS5&lt;50,AR5&gt;((DADOS_GERAIS!D$49)/4)),"N","C"))</f>
        <v>C</v>
      </c>
    </row>
    <row r="6" spans="1:47" ht="12" customHeight="1" x14ac:dyDescent="0.2">
      <c r="A6" s="109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SUM(IF('UC1-frente'!$I$13='UC2-frente'!$I$13,0,'UC1-verso'!AR6),IF('UC2-frente'!$I$13='UC3-frente'!$I$13,0,'UC2-verso'!AR6),IF('UC3-frente'!$I$13='UC4-frente'!$I$13,0,'UC3-verso'!AR6),IF('UC4-frente'!$I$13='UC5-frente'!$I$13,0,'UC4-verso'!AR6),IF('UC5-frente'!$I$13='UC6-frente'!$I$13,0,'UC5-verso'!AR6),IF('UC6-frente'!$I$13='UC7-frente'!$I$13,0,'UC6-verso'!AR6),IF('UC7-frente'!$I$13='UC8-frente'!$I$13,0,'UC7-verso'!AR6),IF('UC8-frente'!$I$13='UC9-frente'!$I$13,0,'UC8-verso'!AR6),IF('UC9-frente'!$I$13='UC10-frente'!$I$13,0,'UC9-verso'!AR6),'UC10-verso'!AR6))</f>
        <v>27</v>
      </c>
      <c r="AS6" s="36">
        <f>IF(AR6="","",AVERAGE('UC1-verso'!AS6,'UC2-verso'!AS6,'UC3-verso'!AS6,'UC4-verso'!AS6,'UC5-verso'!AS6,'UC6-verso'!AS6,'UC7-verso'!AS6,'UC8-verso'!AS6,'UC9-verso'!AS6,'UC10-verso'!AS6))</f>
        <v>90</v>
      </c>
      <c r="AT6" s="37">
        <f t="shared" si="0"/>
        <v>4</v>
      </c>
      <c r="AU6" s="66" t="str">
        <f>IF(AS6="","",IF(OR(AS6&lt;50,AR6&gt;((DADOS_GERAIS!D$49)/4)),"N","C"))</f>
        <v>C</v>
      </c>
    </row>
    <row r="7" spans="1:47" ht="12" customHeight="1" x14ac:dyDescent="0.2">
      <c r="A7" s="109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SUM(IF('UC1-frente'!$I$13='UC2-frente'!$I$13,0,'UC1-verso'!AR7),IF('UC2-frente'!$I$13='UC3-frente'!$I$13,0,'UC2-verso'!AR7),IF('UC3-frente'!$I$13='UC4-frente'!$I$13,0,'UC3-verso'!AR7),IF('UC4-frente'!$I$13='UC5-frente'!$I$13,0,'UC4-verso'!AR7),IF('UC5-frente'!$I$13='UC6-frente'!$I$13,0,'UC5-verso'!AR7),IF('UC6-frente'!$I$13='UC7-frente'!$I$13,0,'UC6-verso'!AR7),IF('UC7-frente'!$I$13='UC8-frente'!$I$13,0,'UC7-verso'!AR7),IF('UC8-frente'!$I$13='UC9-frente'!$I$13,0,'UC8-verso'!AR7),IF('UC9-frente'!$I$13='UC10-frente'!$I$13,0,'UC9-verso'!AR7),'UC10-verso'!AR7))</f>
        <v>54</v>
      </c>
      <c r="AS7" s="36">
        <f>IF(AR7="","",AVERAGE('UC1-verso'!AS7,'UC2-verso'!AS7,'UC3-verso'!AS7,'UC4-verso'!AS7,'UC5-verso'!AS7,'UC6-verso'!AS7,'UC7-verso'!AS7,'UC8-verso'!AS7,'UC9-verso'!AS7,'UC10-verso'!AS7))</f>
        <v>62.5</v>
      </c>
      <c r="AT7" s="37">
        <f t="shared" si="0"/>
        <v>5</v>
      </c>
      <c r="AU7" s="66" t="str">
        <f>IF(AS7="","",IF(OR(AS7&lt;50,AR7&gt;((DADOS_GERAIS!D$49)/4)),"N","C"))</f>
        <v>N</v>
      </c>
    </row>
    <row r="8" spans="1:47" ht="12" customHeight="1" x14ac:dyDescent="0.2">
      <c r="A8" s="109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SUM(IF('UC1-frente'!$I$13='UC2-frente'!$I$13,0,'UC1-verso'!AR8),IF('UC2-frente'!$I$13='UC3-frente'!$I$13,0,'UC2-verso'!AR8),IF('UC3-frente'!$I$13='UC4-frente'!$I$13,0,'UC3-verso'!AR8),IF('UC4-frente'!$I$13='UC5-frente'!$I$13,0,'UC4-verso'!AR8),IF('UC5-frente'!$I$13='UC6-frente'!$I$13,0,'UC5-verso'!AR8),IF('UC6-frente'!$I$13='UC7-frente'!$I$13,0,'UC6-verso'!AR8),IF('UC7-frente'!$I$13='UC8-frente'!$I$13,0,'UC7-verso'!AR8),IF('UC8-frente'!$I$13='UC9-frente'!$I$13,0,'UC8-verso'!AR8),IF('UC9-frente'!$I$13='UC10-frente'!$I$13,0,'UC9-verso'!AR8),'UC10-verso'!AR8))</f>
        <v>102</v>
      </c>
      <c r="AS8" s="36">
        <f>IF(AR8="","",AVERAGE('UC1-verso'!AS8,'UC2-verso'!AS8,'UC3-verso'!AS8,'UC4-verso'!AS8,'UC5-verso'!AS8,'UC6-verso'!AS8,'UC7-verso'!AS8,'UC8-verso'!AS8,'UC9-verso'!AS8,'UC10-verso'!AS8))</f>
        <v>45</v>
      </c>
      <c r="AT8" s="37">
        <f t="shared" si="0"/>
        <v>6</v>
      </c>
      <c r="AU8" s="66" t="str">
        <f>IF(AS8="","",IF(OR(AS8&lt;50,AR8&gt;((DADOS_GERAIS!D$49)/4)),"N","C"))</f>
        <v>N</v>
      </c>
    </row>
    <row r="9" spans="1:47" ht="12" customHeight="1" x14ac:dyDescent="0.2">
      <c r="A9" s="109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SUM(IF('UC1-frente'!$I$13='UC2-frente'!$I$13,0,'UC1-verso'!AR9),IF('UC2-frente'!$I$13='UC3-frente'!$I$13,0,'UC2-verso'!AR9),IF('UC3-frente'!$I$13='UC4-frente'!$I$13,0,'UC3-verso'!AR9),IF('UC4-frente'!$I$13='UC5-frente'!$I$13,0,'UC4-verso'!AR9),IF('UC5-frente'!$I$13='UC6-frente'!$I$13,0,'UC5-verso'!AR9),IF('UC6-frente'!$I$13='UC7-frente'!$I$13,0,'UC6-verso'!AR9),IF('UC7-frente'!$I$13='UC8-frente'!$I$13,0,'UC7-verso'!AR9),IF('UC8-frente'!$I$13='UC9-frente'!$I$13,0,'UC8-verso'!AR9),IF('UC9-frente'!$I$13='UC10-frente'!$I$13,0,'UC9-verso'!AR9),'UC10-verso'!AR9))</f>
        <v>30</v>
      </c>
      <c r="AS9" s="36">
        <f>IF(AR9="","",AVERAGE('UC1-verso'!AS9,'UC2-verso'!AS9,'UC3-verso'!AS9,'UC4-verso'!AS9,'UC5-verso'!AS9,'UC6-verso'!AS9,'UC7-verso'!AS9,'UC8-verso'!AS9,'UC9-verso'!AS9,'UC10-verso'!AS9))</f>
        <v>80</v>
      </c>
      <c r="AT9" s="37">
        <f t="shared" si="0"/>
        <v>7</v>
      </c>
      <c r="AU9" s="66" t="str">
        <f>IF(AS9="","",IF(OR(AS9&lt;50,AR9&gt;((DADOS_GERAIS!D$49)/4)),"N","C"))</f>
        <v>C</v>
      </c>
    </row>
    <row r="10" spans="1:47" ht="12" customHeight="1" x14ac:dyDescent="0.2">
      <c r="A10" s="109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SUM(IF('UC1-frente'!$I$13='UC2-frente'!$I$13,0,'UC1-verso'!AR10),IF('UC2-frente'!$I$13='UC3-frente'!$I$13,0,'UC2-verso'!AR10),IF('UC3-frente'!$I$13='UC4-frente'!$I$13,0,'UC3-verso'!AR10),IF('UC4-frente'!$I$13='UC5-frente'!$I$13,0,'UC4-verso'!AR10),IF('UC5-frente'!$I$13='UC6-frente'!$I$13,0,'UC5-verso'!AR10),IF('UC6-frente'!$I$13='UC7-frente'!$I$13,0,'UC6-verso'!AR10),IF('UC7-frente'!$I$13='UC8-frente'!$I$13,0,'UC7-verso'!AR10),IF('UC8-frente'!$I$13='UC9-frente'!$I$13,0,'UC8-verso'!AR10),IF('UC9-frente'!$I$13='UC10-frente'!$I$13,0,'UC9-verso'!AR10),'UC10-verso'!AR10))</f>
        <v>12</v>
      </c>
      <c r="AS10" s="36">
        <f>IF(AR10="","",AVERAGE('UC1-verso'!AS10,'UC2-verso'!AS10,'UC3-verso'!AS10,'UC4-verso'!AS10,'UC5-verso'!AS10,'UC6-verso'!AS10,'UC7-verso'!AS10,'UC8-verso'!AS10,'UC9-verso'!AS10,'UC10-verso'!AS10))</f>
        <v>91.25</v>
      </c>
      <c r="AT10" s="37">
        <f t="shared" si="0"/>
        <v>8</v>
      </c>
      <c r="AU10" s="66" t="str">
        <f>IF(AS10="","",IF(OR(AS10&lt;50,AR10&gt;((DADOS_GERAIS!D$49)/4)),"N","C"))</f>
        <v>C</v>
      </c>
    </row>
    <row r="11" spans="1:47" ht="12" customHeight="1" x14ac:dyDescent="0.2">
      <c r="A11" s="109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SUM(IF('UC1-frente'!$I$13='UC2-frente'!$I$13,0,'UC1-verso'!AR11),IF('UC2-frente'!$I$13='UC3-frente'!$I$13,0,'UC2-verso'!AR11),IF('UC3-frente'!$I$13='UC4-frente'!$I$13,0,'UC3-verso'!AR11),IF('UC4-frente'!$I$13='UC5-frente'!$I$13,0,'UC4-verso'!AR11),IF('UC5-frente'!$I$13='UC6-frente'!$I$13,0,'UC5-verso'!AR11),IF('UC6-frente'!$I$13='UC7-frente'!$I$13,0,'UC6-verso'!AR11),IF('UC7-frente'!$I$13='UC8-frente'!$I$13,0,'UC7-verso'!AR11),IF('UC8-frente'!$I$13='UC9-frente'!$I$13,0,'UC8-verso'!AR11),IF('UC9-frente'!$I$13='UC10-frente'!$I$13,0,'UC9-verso'!AR11),'UC10-verso'!AR11))</f>
        <v>147</v>
      </c>
      <c r="AS11" s="36">
        <f>IF(AR11="","",AVERAGE('UC1-verso'!AS11,'UC2-verso'!AS11,'UC3-verso'!AS11,'UC4-verso'!AS11,'UC5-verso'!AS11,'UC6-verso'!AS11,'UC7-verso'!AS11,'UC8-verso'!AS11,'UC9-verso'!AS11,'UC10-verso'!AS11))</f>
        <v>0</v>
      </c>
      <c r="AT11" s="37">
        <f t="shared" si="0"/>
        <v>9</v>
      </c>
      <c r="AU11" s="66" t="str">
        <f>IF(AS11="","",IF(OR(AS11&lt;50,AR11&gt;((DADOS_GERAIS!D$49)/4)),"N","C"))</f>
        <v>N</v>
      </c>
    </row>
    <row r="12" spans="1:47" ht="12" customHeight="1" x14ac:dyDescent="0.2">
      <c r="A12" s="109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SUM(IF('UC1-frente'!$I$13='UC2-frente'!$I$13,0,'UC1-verso'!AR12),IF('UC2-frente'!$I$13='UC3-frente'!$I$13,0,'UC2-verso'!AR12),IF('UC3-frente'!$I$13='UC4-frente'!$I$13,0,'UC3-verso'!AR12),IF('UC4-frente'!$I$13='UC5-frente'!$I$13,0,'UC4-verso'!AR12),IF('UC5-frente'!$I$13='UC6-frente'!$I$13,0,'UC5-verso'!AR12),IF('UC6-frente'!$I$13='UC7-frente'!$I$13,0,'UC6-verso'!AR12),IF('UC7-frente'!$I$13='UC8-frente'!$I$13,0,'UC7-verso'!AR12),IF('UC8-frente'!$I$13='UC9-frente'!$I$13,0,'UC8-verso'!AR12),IF('UC9-frente'!$I$13='UC10-frente'!$I$13,0,'UC9-verso'!AR12),'UC10-verso'!AR12))</f>
        <v>51</v>
      </c>
      <c r="AS12" s="36">
        <f>IF(AR12="","",AVERAGE('UC1-verso'!AS12,'UC2-verso'!AS12,'UC3-verso'!AS12,'UC4-verso'!AS12,'UC5-verso'!AS12,'UC6-verso'!AS12,'UC7-verso'!AS12,'UC8-verso'!AS12,'UC9-verso'!AS12,'UC10-verso'!AS12))</f>
        <v>80</v>
      </c>
      <c r="AT12" s="37">
        <f t="shared" si="0"/>
        <v>10</v>
      </c>
      <c r="AU12" s="66" t="str">
        <f>IF(AS12="","",IF(OR(AS12&lt;50,AR12&gt;((DADOS_GERAIS!D$49)/4)),"N","C"))</f>
        <v>N</v>
      </c>
    </row>
    <row r="13" spans="1:47" ht="12" customHeight="1" x14ac:dyDescent="0.2">
      <c r="A13" s="109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SUM(IF('UC1-frente'!$I$13='UC2-frente'!$I$13,0,'UC1-verso'!AR13),IF('UC2-frente'!$I$13='UC3-frente'!$I$13,0,'UC2-verso'!AR13),IF('UC3-frente'!$I$13='UC4-frente'!$I$13,0,'UC3-verso'!AR13),IF('UC4-frente'!$I$13='UC5-frente'!$I$13,0,'UC4-verso'!AR13),IF('UC5-frente'!$I$13='UC6-frente'!$I$13,0,'UC5-verso'!AR13),IF('UC6-frente'!$I$13='UC7-frente'!$I$13,0,'UC6-verso'!AR13),IF('UC7-frente'!$I$13='UC8-frente'!$I$13,0,'UC7-verso'!AR13),IF('UC8-frente'!$I$13='UC9-frente'!$I$13,0,'UC8-verso'!AR13),IF('UC9-frente'!$I$13='UC10-frente'!$I$13,0,'UC9-verso'!AR13),'UC10-verso'!AR13))</f>
        <v>138</v>
      </c>
      <c r="AS13" s="36">
        <f>IF(AR13="","",AVERAGE('UC1-verso'!AS13,'UC2-verso'!AS13,'UC3-verso'!AS13,'UC4-verso'!AS13,'UC5-verso'!AS13,'UC6-verso'!AS13,'UC7-verso'!AS13,'UC8-verso'!AS13,'UC9-verso'!AS13,'UC10-verso'!AS13))</f>
        <v>10</v>
      </c>
      <c r="AT13" s="37">
        <f t="shared" si="0"/>
        <v>11</v>
      </c>
      <c r="AU13" s="66" t="str">
        <f>IF(AS13="","",IF(OR(AS13&lt;50,AR13&gt;((DADOS_GERAIS!D$49)/4)),"N","C"))</f>
        <v>N</v>
      </c>
    </row>
    <row r="14" spans="1:47" ht="12" customHeight="1" x14ac:dyDescent="0.2">
      <c r="A14" s="109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SUM(IF('UC1-frente'!$I$13='UC2-frente'!$I$13,0,'UC1-verso'!AR14),IF('UC2-frente'!$I$13='UC3-frente'!$I$13,0,'UC2-verso'!AR14),IF('UC3-frente'!$I$13='UC4-frente'!$I$13,0,'UC3-verso'!AR14),IF('UC4-frente'!$I$13='UC5-frente'!$I$13,0,'UC4-verso'!AR14),IF('UC5-frente'!$I$13='UC6-frente'!$I$13,0,'UC5-verso'!AR14),IF('UC6-frente'!$I$13='UC7-frente'!$I$13,0,'UC6-verso'!AR14),IF('UC7-frente'!$I$13='UC8-frente'!$I$13,0,'UC7-verso'!AR14),IF('UC8-frente'!$I$13='UC9-frente'!$I$13,0,'UC8-verso'!AR14),IF('UC9-frente'!$I$13='UC10-frente'!$I$13,0,'UC9-verso'!AR14),'UC10-verso'!AR14))</f>
        <v>24</v>
      </c>
      <c r="AS14" s="36">
        <f>IF(AR14="","",AVERAGE('UC1-verso'!AS14,'UC2-verso'!AS14,'UC3-verso'!AS14,'UC4-verso'!AS14,'UC5-verso'!AS14,'UC6-verso'!AS14,'UC7-verso'!AS14,'UC8-verso'!AS14,'UC9-verso'!AS14,'UC10-verso'!AS14))</f>
        <v>90</v>
      </c>
      <c r="AT14" s="37">
        <f t="shared" si="0"/>
        <v>12</v>
      </c>
      <c r="AU14" s="66" t="str">
        <f>IF(AS14="","",IF(OR(AS14&lt;50,AR14&gt;((DADOS_GERAIS!D$49)/4)),"N","C"))</f>
        <v>C</v>
      </c>
    </row>
    <row r="15" spans="1:47" ht="12" customHeight="1" x14ac:dyDescent="0.2">
      <c r="A15" s="109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SUM(IF('UC1-frente'!$I$13='UC2-frente'!$I$13,0,'UC1-verso'!AR15),IF('UC2-frente'!$I$13='UC3-frente'!$I$13,0,'UC2-verso'!AR15),IF('UC3-frente'!$I$13='UC4-frente'!$I$13,0,'UC3-verso'!AR15),IF('UC4-frente'!$I$13='UC5-frente'!$I$13,0,'UC4-verso'!AR15),IF('UC5-frente'!$I$13='UC6-frente'!$I$13,0,'UC5-verso'!AR15),IF('UC6-frente'!$I$13='UC7-frente'!$I$13,0,'UC6-verso'!AR15),IF('UC7-frente'!$I$13='UC8-frente'!$I$13,0,'UC7-verso'!AR15),IF('UC8-frente'!$I$13='UC9-frente'!$I$13,0,'UC8-verso'!AR15),IF('UC9-frente'!$I$13='UC10-frente'!$I$13,0,'UC9-verso'!AR15),'UC10-verso'!AR15))</f>
        <v>18</v>
      </c>
      <c r="AS15" s="36">
        <f>IF(AR15="","",AVERAGE('UC1-verso'!AS15,'UC2-verso'!AS15,'UC3-verso'!AS15,'UC4-verso'!AS15,'UC5-verso'!AS15,'UC6-verso'!AS15,'UC7-verso'!AS15,'UC8-verso'!AS15,'UC9-verso'!AS15,'UC10-verso'!AS15))</f>
        <v>91.25</v>
      </c>
      <c r="AT15" s="37">
        <f t="shared" si="0"/>
        <v>13</v>
      </c>
      <c r="AU15" s="66" t="str">
        <f>IF(AS15="","",IF(OR(AS15&lt;50,AR15&gt;((DADOS_GERAIS!D$49)/4)),"N","C"))</f>
        <v>C</v>
      </c>
    </row>
    <row r="16" spans="1:47" ht="12" customHeight="1" x14ac:dyDescent="0.2">
      <c r="A16" s="109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SUM(IF('UC1-frente'!$I$13='UC2-frente'!$I$13,0,'UC1-verso'!AR16),IF('UC2-frente'!$I$13='UC3-frente'!$I$13,0,'UC2-verso'!AR16),IF('UC3-frente'!$I$13='UC4-frente'!$I$13,0,'UC3-verso'!AR16),IF('UC4-frente'!$I$13='UC5-frente'!$I$13,0,'UC4-verso'!AR16),IF('UC5-frente'!$I$13='UC6-frente'!$I$13,0,'UC5-verso'!AR16),IF('UC6-frente'!$I$13='UC7-frente'!$I$13,0,'UC6-verso'!AR16),IF('UC7-frente'!$I$13='UC8-frente'!$I$13,0,'UC7-verso'!AR16),IF('UC8-frente'!$I$13='UC9-frente'!$I$13,0,'UC8-verso'!AR16),IF('UC9-frente'!$I$13='UC10-frente'!$I$13,0,'UC9-verso'!AR16),'UC10-verso'!AR16))</f>
        <v>39</v>
      </c>
      <c r="AS16" s="36">
        <f>IF(AR16="","",AVERAGE('UC1-verso'!AS16,'UC2-verso'!AS16,'UC3-verso'!AS16,'UC4-verso'!AS16,'UC5-verso'!AS16,'UC6-verso'!AS16,'UC7-verso'!AS16,'UC8-verso'!AS16,'UC9-verso'!AS16,'UC10-verso'!AS16))</f>
        <v>90</v>
      </c>
      <c r="AT16" s="37">
        <f t="shared" si="0"/>
        <v>14</v>
      </c>
      <c r="AU16" s="66" t="str">
        <f>IF(AS16="","",IF(OR(AS16&lt;50,AR16&gt;((DADOS_GERAIS!D$49)/4)),"N","C"))</f>
        <v>C</v>
      </c>
    </row>
    <row r="17" spans="1:47" ht="12" customHeight="1" x14ac:dyDescent="0.2">
      <c r="A17" s="109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SUM(IF('UC1-frente'!$I$13='UC2-frente'!$I$13,0,'UC1-verso'!AR17),IF('UC2-frente'!$I$13='UC3-frente'!$I$13,0,'UC2-verso'!AR17),IF('UC3-frente'!$I$13='UC4-frente'!$I$13,0,'UC3-verso'!AR17),IF('UC4-frente'!$I$13='UC5-frente'!$I$13,0,'UC4-verso'!AR17),IF('UC5-frente'!$I$13='UC6-frente'!$I$13,0,'UC5-verso'!AR17),IF('UC6-frente'!$I$13='UC7-frente'!$I$13,0,'UC6-verso'!AR17),IF('UC7-frente'!$I$13='UC8-frente'!$I$13,0,'UC7-verso'!AR17),IF('UC8-frente'!$I$13='UC9-frente'!$I$13,0,'UC8-verso'!AR17),IF('UC9-frente'!$I$13='UC10-frente'!$I$13,0,'UC9-verso'!AR17),'UC10-verso'!AR17))</f>
        <v/>
      </c>
      <c r="AS17" s="36" t="str">
        <f>IF(AR17="","",AVERAGE('UC1-verso'!AS17,'UC2-verso'!AS17,'UC3-verso'!AS17,'UC4-verso'!AS17,'UC5-verso'!AS17,'UC6-verso'!AS17,'UC7-verso'!AS17,'UC8-verso'!AS17,'UC9-verso'!AS17,'UC10-verso'!AS17))</f>
        <v/>
      </c>
      <c r="AT17" s="37" t="str">
        <f t="shared" si="0"/>
        <v/>
      </c>
      <c r="AU17" s="66" t="str">
        <f>IF(AS17="","",IF(OR(AS17&lt;50,AR17&gt;((DADOS_GERAIS!D$49)/4)),"N","C"))</f>
        <v/>
      </c>
    </row>
    <row r="18" spans="1:47" ht="12" customHeight="1" x14ac:dyDescent="0.2">
      <c r="A18" s="109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SUM(IF('UC1-frente'!$I$13='UC2-frente'!$I$13,0,'UC1-verso'!AR18),IF('UC2-frente'!$I$13='UC3-frente'!$I$13,0,'UC2-verso'!AR18),IF('UC3-frente'!$I$13='UC4-frente'!$I$13,0,'UC3-verso'!AR18),IF('UC4-frente'!$I$13='UC5-frente'!$I$13,0,'UC4-verso'!AR18),IF('UC5-frente'!$I$13='UC6-frente'!$I$13,0,'UC5-verso'!AR18),IF('UC6-frente'!$I$13='UC7-frente'!$I$13,0,'UC6-verso'!AR18),IF('UC7-frente'!$I$13='UC8-frente'!$I$13,0,'UC7-verso'!AR18),IF('UC8-frente'!$I$13='UC9-frente'!$I$13,0,'UC8-verso'!AR18),IF('UC9-frente'!$I$13='UC10-frente'!$I$13,0,'UC9-verso'!AR18),'UC10-verso'!AR18))</f>
        <v/>
      </c>
      <c r="AS18" s="36" t="str">
        <f>IF(AR18="","",AVERAGE('UC1-verso'!AS18,'UC2-verso'!AS18,'UC3-verso'!AS18,'UC4-verso'!AS18,'UC5-verso'!AS18,'UC6-verso'!AS18,'UC7-verso'!AS18,'UC8-verso'!AS18,'UC9-verso'!AS18,'UC10-verso'!AS18))</f>
        <v/>
      </c>
      <c r="AT18" s="37" t="str">
        <f t="shared" si="0"/>
        <v/>
      </c>
      <c r="AU18" s="66" t="str">
        <f>IF(AS18="","",IF(OR(AS18&lt;50,AR18&gt;((DADOS_GERAIS!D$49)/4)),"N","C"))</f>
        <v/>
      </c>
    </row>
    <row r="19" spans="1:47" ht="12" customHeight="1" x14ac:dyDescent="0.2">
      <c r="A19" s="109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SUM(IF('UC1-frente'!$I$13='UC2-frente'!$I$13,0,'UC1-verso'!AR19),IF('UC2-frente'!$I$13='UC3-frente'!$I$13,0,'UC2-verso'!AR19),IF('UC3-frente'!$I$13='UC4-frente'!$I$13,0,'UC3-verso'!AR19),IF('UC4-frente'!$I$13='UC5-frente'!$I$13,0,'UC4-verso'!AR19),IF('UC5-frente'!$I$13='UC6-frente'!$I$13,0,'UC5-verso'!AR19),IF('UC6-frente'!$I$13='UC7-frente'!$I$13,0,'UC6-verso'!AR19),IF('UC7-frente'!$I$13='UC8-frente'!$I$13,0,'UC7-verso'!AR19),IF('UC8-frente'!$I$13='UC9-frente'!$I$13,0,'UC8-verso'!AR19),IF('UC9-frente'!$I$13='UC10-frente'!$I$13,0,'UC9-verso'!AR19),'UC10-verso'!AR19))</f>
        <v/>
      </c>
      <c r="AS19" s="36" t="str">
        <f>IF(AR19="","",AVERAGE('UC1-verso'!AS19,'UC2-verso'!AS19,'UC3-verso'!AS19,'UC4-verso'!AS19,'UC5-verso'!AS19,'UC6-verso'!AS19,'UC7-verso'!AS19,'UC8-verso'!AS19,'UC9-verso'!AS19,'UC10-verso'!AS19))</f>
        <v/>
      </c>
      <c r="AT19" s="37" t="str">
        <f t="shared" si="0"/>
        <v/>
      </c>
      <c r="AU19" s="66" t="str">
        <f>IF(AS19="","",IF(OR(AS19&lt;50,AR19&gt;((DADOS_GERAIS!D$49)/4)),"N","C"))</f>
        <v/>
      </c>
    </row>
    <row r="20" spans="1:47" ht="12" customHeight="1" x14ac:dyDescent="0.2">
      <c r="A20" s="109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SUM(IF('UC1-frente'!$I$13='UC2-frente'!$I$13,0,'UC1-verso'!AR20),IF('UC2-frente'!$I$13='UC3-frente'!$I$13,0,'UC2-verso'!AR20),IF('UC3-frente'!$I$13='UC4-frente'!$I$13,0,'UC3-verso'!AR20),IF('UC4-frente'!$I$13='UC5-frente'!$I$13,0,'UC4-verso'!AR20),IF('UC5-frente'!$I$13='UC6-frente'!$I$13,0,'UC5-verso'!AR20),IF('UC6-frente'!$I$13='UC7-frente'!$I$13,0,'UC6-verso'!AR20),IF('UC7-frente'!$I$13='UC8-frente'!$I$13,0,'UC7-verso'!AR20),IF('UC8-frente'!$I$13='UC9-frente'!$I$13,0,'UC8-verso'!AR20),IF('UC9-frente'!$I$13='UC10-frente'!$I$13,0,'UC9-verso'!AR20),'UC10-verso'!AR20))</f>
        <v/>
      </c>
      <c r="AS20" s="36" t="str">
        <f>IF(AR20="","",AVERAGE('UC1-verso'!AS20,'UC2-verso'!AS20,'UC3-verso'!AS20,'UC4-verso'!AS20,'UC5-verso'!AS20,'UC6-verso'!AS20,'UC7-verso'!AS20,'UC8-verso'!AS20,'UC9-verso'!AS20,'UC10-verso'!AS20))</f>
        <v/>
      </c>
      <c r="AT20" s="37" t="str">
        <f t="shared" si="0"/>
        <v/>
      </c>
      <c r="AU20" s="66" t="str">
        <f>IF(AS20="","",IF(OR(AS20&lt;50,AR20&gt;((DADOS_GERAIS!D$49)/4)),"N","C"))</f>
        <v/>
      </c>
    </row>
    <row r="21" spans="1:47" ht="12" customHeight="1" x14ac:dyDescent="0.2">
      <c r="A21" s="109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SUM(IF('UC1-frente'!$I$13='UC2-frente'!$I$13,0,'UC1-verso'!AR21),IF('UC2-frente'!$I$13='UC3-frente'!$I$13,0,'UC2-verso'!AR21),IF('UC3-frente'!$I$13='UC4-frente'!$I$13,0,'UC3-verso'!AR21),IF('UC4-frente'!$I$13='UC5-frente'!$I$13,0,'UC4-verso'!AR21),IF('UC5-frente'!$I$13='UC6-frente'!$I$13,0,'UC5-verso'!AR21),IF('UC6-frente'!$I$13='UC7-frente'!$I$13,0,'UC6-verso'!AR21),IF('UC7-frente'!$I$13='UC8-frente'!$I$13,0,'UC7-verso'!AR21),IF('UC8-frente'!$I$13='UC9-frente'!$I$13,0,'UC8-verso'!AR21),IF('UC9-frente'!$I$13='UC10-frente'!$I$13,0,'UC9-verso'!AR21),'UC10-verso'!AR21))</f>
        <v/>
      </c>
      <c r="AS21" s="36" t="str">
        <f>IF(AR21="","",AVERAGE('UC1-verso'!AS21,'UC2-verso'!AS21,'UC3-verso'!AS21,'UC4-verso'!AS21,'UC5-verso'!AS21,'UC6-verso'!AS21,'UC7-verso'!AS21,'UC8-verso'!AS21,'UC9-verso'!AS21,'UC10-verso'!AS21))</f>
        <v/>
      </c>
      <c r="AT21" s="37" t="str">
        <f t="shared" si="0"/>
        <v/>
      </c>
      <c r="AU21" s="66" t="str">
        <f>IF(AS21="","",IF(OR(AS21&lt;50,AR21&gt;((DADOS_GERAIS!D$49)/4)),"N","C"))</f>
        <v/>
      </c>
    </row>
    <row r="22" spans="1:47" ht="12" customHeight="1" x14ac:dyDescent="0.2">
      <c r="A22" s="109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SUM(IF('UC1-frente'!$I$13='UC2-frente'!$I$13,0,'UC1-verso'!AR22),IF('UC2-frente'!$I$13='UC3-frente'!$I$13,0,'UC2-verso'!AR22),IF('UC3-frente'!$I$13='UC4-frente'!$I$13,0,'UC3-verso'!AR22),IF('UC4-frente'!$I$13='UC5-frente'!$I$13,0,'UC4-verso'!AR22),IF('UC5-frente'!$I$13='UC6-frente'!$I$13,0,'UC5-verso'!AR22),IF('UC6-frente'!$I$13='UC7-frente'!$I$13,0,'UC6-verso'!AR22),IF('UC7-frente'!$I$13='UC8-frente'!$I$13,0,'UC7-verso'!AR22),IF('UC8-frente'!$I$13='UC9-frente'!$I$13,0,'UC8-verso'!AR22),IF('UC9-frente'!$I$13='UC10-frente'!$I$13,0,'UC9-verso'!AR22),'UC10-verso'!AR22))</f>
        <v/>
      </c>
      <c r="AS22" s="36" t="str">
        <f>IF(AR22="","",AVERAGE('UC1-verso'!AS22,'UC2-verso'!AS22,'UC3-verso'!AS22,'UC4-verso'!AS22,'UC5-verso'!AS22,'UC6-verso'!AS22,'UC7-verso'!AS22,'UC8-verso'!AS22,'UC9-verso'!AS22,'UC10-verso'!AS22))</f>
        <v/>
      </c>
      <c r="AT22" s="37" t="str">
        <f t="shared" si="0"/>
        <v/>
      </c>
      <c r="AU22" s="66" t="str">
        <f>IF(AS22="","",IF(OR(AS22&lt;50,AR22&gt;((DADOS_GERAIS!D$49)/4)),"N","C"))</f>
        <v/>
      </c>
    </row>
    <row r="23" spans="1:47" ht="12" customHeight="1" x14ac:dyDescent="0.2">
      <c r="A23" s="109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SUM(IF('UC1-frente'!$I$13='UC2-frente'!$I$13,0,'UC1-verso'!AR23),IF('UC2-frente'!$I$13='UC3-frente'!$I$13,0,'UC2-verso'!AR23),IF('UC3-frente'!$I$13='UC4-frente'!$I$13,0,'UC3-verso'!AR23),IF('UC4-frente'!$I$13='UC5-frente'!$I$13,0,'UC4-verso'!AR23),IF('UC5-frente'!$I$13='UC6-frente'!$I$13,0,'UC5-verso'!AR23),IF('UC6-frente'!$I$13='UC7-frente'!$I$13,0,'UC6-verso'!AR23),IF('UC7-frente'!$I$13='UC8-frente'!$I$13,0,'UC7-verso'!AR23),IF('UC8-frente'!$I$13='UC9-frente'!$I$13,0,'UC8-verso'!AR23),IF('UC9-frente'!$I$13='UC10-frente'!$I$13,0,'UC9-verso'!AR23),'UC10-verso'!AR23))</f>
        <v/>
      </c>
      <c r="AS23" s="36" t="str">
        <f>IF(AR23="","",AVERAGE('UC1-verso'!AS23,'UC2-verso'!AS23,'UC3-verso'!AS23,'UC4-verso'!AS23,'UC5-verso'!AS23,'UC6-verso'!AS23,'UC7-verso'!AS23,'UC8-verso'!AS23,'UC9-verso'!AS23,'UC10-verso'!AS23))</f>
        <v/>
      </c>
      <c r="AT23" s="37" t="str">
        <f t="shared" si="0"/>
        <v/>
      </c>
      <c r="AU23" s="66" t="str">
        <f>IF(AS23="","",IF(OR(AS23&lt;50,AR23&gt;((DADOS_GERAIS!D$49)/4)),"N","C"))</f>
        <v/>
      </c>
    </row>
    <row r="24" spans="1:47" ht="12" customHeight="1" x14ac:dyDescent="0.2">
      <c r="A24" s="109" t="str">
        <f>IF(B24="","",22)</f>
        <v/>
      </c>
      <c r="B24" s="212" t="str">
        <f>IF(ISBLANK(DADOS_GERAIS!C25),"",DADOS_GERAIS!C25)</f>
        <v/>
      </c>
      <c r="C24" s="212"/>
      <c r="D24" s="18"/>
      <c r="E24" s="18"/>
      <c r="F24" s="18"/>
      <c r="G24" s="52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51"/>
      <c r="AJ24" s="52"/>
      <c r="AK24" s="52"/>
      <c r="AL24" s="52"/>
      <c r="AM24" s="53"/>
      <c r="AN24" s="54"/>
      <c r="AO24" s="18"/>
      <c r="AP24" s="18"/>
      <c r="AQ24" s="18"/>
      <c r="AR24" s="37" t="str">
        <f>IF(B24="","",SUM(IF('UC1-frente'!$I$13='UC2-frente'!$I$13,0,'UC1-verso'!AR24),IF('UC2-frente'!$I$13='UC3-frente'!$I$13,0,'UC2-verso'!AR24),IF('UC3-frente'!$I$13='UC4-frente'!$I$13,0,'UC3-verso'!AR24),IF('UC4-frente'!$I$13='UC5-frente'!$I$13,0,'UC4-verso'!AR24),IF('UC5-frente'!$I$13='UC6-frente'!$I$13,0,'UC5-verso'!AR24),IF('UC6-frente'!$I$13='UC7-frente'!$I$13,0,'UC6-verso'!AR24),IF('UC7-frente'!$I$13='UC8-frente'!$I$13,0,'UC7-verso'!AR24),IF('UC8-frente'!$I$13='UC9-frente'!$I$13,0,'UC8-verso'!AR24),IF('UC9-frente'!$I$13='UC10-frente'!$I$13,0,'UC9-verso'!AR24),'UC10-verso'!AR24))</f>
        <v/>
      </c>
      <c r="AS24" s="36" t="str">
        <f>IF(AR24="","",AVERAGE('UC1-verso'!AS24,'UC2-verso'!AS24,'UC3-verso'!AS24,'UC4-verso'!AS24,'UC5-verso'!AS24,'UC6-verso'!AS24,'UC7-verso'!AS24,'UC8-verso'!AS24,'UC9-verso'!AS24,'UC10-verso'!AS24))</f>
        <v/>
      </c>
      <c r="AT24" s="37" t="str">
        <f t="shared" si="0"/>
        <v/>
      </c>
      <c r="AU24" s="66" t="str">
        <f>IF(AS24="","",IF(OR(AS24&lt;50,AR24&gt;((DADOS_GERAIS!D$49)/4)),"N","C"))</f>
        <v/>
      </c>
    </row>
    <row r="25" spans="1:47" ht="12" customHeight="1" x14ac:dyDescent="0.2">
      <c r="A25" s="109" t="str">
        <f>IF(B25="","",23)</f>
        <v/>
      </c>
      <c r="B25" s="212" t="str">
        <f>IF(ISBLANK(DADOS_GERAIS!C26),"",DADOS_GERAIS!C26)</f>
        <v/>
      </c>
      <c r="C25" s="21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57"/>
      <c r="AJ25" s="55"/>
      <c r="AK25" s="55"/>
      <c r="AL25" s="55"/>
      <c r="AM25" s="56"/>
      <c r="AN25" s="54"/>
      <c r="AO25" s="18"/>
      <c r="AP25" s="18"/>
      <c r="AQ25" s="18"/>
      <c r="AR25" s="37" t="str">
        <f>IF(B25="","",SUM(IF('UC1-frente'!$I$13='UC2-frente'!$I$13,0,'UC1-verso'!AR25),IF('UC2-frente'!$I$13='UC3-frente'!$I$13,0,'UC2-verso'!AR25),IF('UC3-frente'!$I$13='UC4-frente'!$I$13,0,'UC3-verso'!AR25),IF('UC4-frente'!$I$13='UC5-frente'!$I$13,0,'UC4-verso'!AR25),IF('UC5-frente'!$I$13='UC6-frente'!$I$13,0,'UC5-verso'!AR25),IF('UC6-frente'!$I$13='UC7-frente'!$I$13,0,'UC6-verso'!AR25),IF('UC7-frente'!$I$13='UC8-frente'!$I$13,0,'UC7-verso'!AR25),IF('UC8-frente'!$I$13='UC9-frente'!$I$13,0,'UC8-verso'!AR25),IF('UC9-frente'!$I$13='UC10-frente'!$I$13,0,'UC9-verso'!AR25),'UC10-verso'!AR25))</f>
        <v/>
      </c>
      <c r="AS25" s="36" t="str">
        <f>IF(AR25="","",AVERAGE('UC1-verso'!AS25,'UC2-verso'!AS25,'UC3-verso'!AS25,'UC4-verso'!AS25,'UC5-verso'!AS25,'UC6-verso'!AS25,'UC7-verso'!AS25,'UC8-verso'!AS25,'UC9-verso'!AS25,'UC10-verso'!AS25))</f>
        <v/>
      </c>
      <c r="AT25" s="37" t="str">
        <f t="shared" si="0"/>
        <v/>
      </c>
      <c r="AU25" s="66" t="str">
        <f>IF(AS25="","",IF(OR(AS25&lt;50,AR25&gt;((DADOS_GERAIS!D$49)/4)),"N","C"))</f>
        <v/>
      </c>
    </row>
    <row r="26" spans="1:47" ht="12" customHeight="1" x14ac:dyDescent="0.2">
      <c r="A26" s="109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8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51"/>
      <c r="AJ26" s="52"/>
      <c r="AK26" s="52"/>
      <c r="AL26" s="52"/>
      <c r="AM26" s="53"/>
      <c r="AN26" s="20"/>
      <c r="AO26" s="19"/>
      <c r="AP26" s="19"/>
      <c r="AQ26" s="19"/>
      <c r="AR26" s="37" t="str">
        <f>IF(B26="","",SUM(IF('UC1-frente'!$I$13='UC2-frente'!$I$13,0,'UC1-verso'!AR26),IF('UC2-frente'!$I$13='UC3-frente'!$I$13,0,'UC2-verso'!AR26),IF('UC3-frente'!$I$13='UC4-frente'!$I$13,0,'UC3-verso'!AR26),IF('UC4-frente'!$I$13='UC5-frente'!$I$13,0,'UC4-verso'!AR26),IF('UC5-frente'!$I$13='UC6-frente'!$I$13,0,'UC5-verso'!AR26),IF('UC6-frente'!$I$13='UC7-frente'!$I$13,0,'UC6-verso'!AR26),IF('UC7-frente'!$I$13='UC8-frente'!$I$13,0,'UC7-verso'!AR26),IF('UC8-frente'!$I$13='UC9-frente'!$I$13,0,'UC8-verso'!AR26),IF('UC9-frente'!$I$13='UC10-frente'!$I$13,0,'UC9-verso'!AR26),'UC10-verso'!AR26))</f>
        <v/>
      </c>
      <c r="AS26" s="36" t="str">
        <f>IF(AR26="","",AVERAGE('UC1-verso'!AS26,'UC2-verso'!AS26,'UC3-verso'!AS26,'UC4-verso'!AS26,'UC5-verso'!AS26,'UC6-verso'!AS26,'UC7-verso'!AS26,'UC8-verso'!AS26,'UC9-verso'!AS26,'UC10-verso'!AS26))</f>
        <v/>
      </c>
      <c r="AT26" s="37" t="str">
        <f t="shared" si="0"/>
        <v/>
      </c>
      <c r="AU26" s="66" t="str">
        <f>IF(AS26="","",IF(OR(AS26&lt;50,AR26&gt;((DADOS_GERAIS!D$49)/4)),"N","C"))</f>
        <v/>
      </c>
    </row>
    <row r="27" spans="1:47" ht="12" customHeight="1" x14ac:dyDescent="0.2">
      <c r="A27" s="109" t="str">
        <f>IF(B27="","",25)</f>
        <v/>
      </c>
      <c r="B27" s="212" t="str">
        <f>IF(ISBLANK(DADOS_GERAIS!C28),"",DADOS_GERAIS!C28)</f>
        <v/>
      </c>
      <c r="C27" s="212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54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58"/>
      <c r="AJ27" s="52"/>
      <c r="AK27" s="52"/>
      <c r="AL27" s="52"/>
      <c r="AM27" s="53"/>
      <c r="AN27" s="54"/>
      <c r="AO27" s="54"/>
      <c r="AP27" s="18"/>
      <c r="AQ27" s="54"/>
      <c r="AR27" s="37" t="str">
        <f>IF(B27="","",SUM(IF('UC1-frente'!$I$13='UC2-frente'!$I$13,0,'UC1-verso'!AR27),IF('UC2-frente'!$I$13='UC3-frente'!$I$13,0,'UC2-verso'!AR27),IF('UC3-frente'!$I$13='UC4-frente'!$I$13,0,'UC3-verso'!AR27),IF('UC4-frente'!$I$13='UC5-frente'!$I$13,0,'UC4-verso'!AR27),IF('UC5-frente'!$I$13='UC6-frente'!$I$13,0,'UC5-verso'!AR27),IF('UC6-frente'!$I$13='UC7-frente'!$I$13,0,'UC6-verso'!AR27),IF('UC7-frente'!$I$13='UC8-frente'!$I$13,0,'UC7-verso'!AR27),IF('UC8-frente'!$I$13='UC9-frente'!$I$13,0,'UC8-verso'!AR27),IF('UC9-frente'!$I$13='UC10-frente'!$I$13,0,'UC9-verso'!AR27),'UC10-verso'!AR27))</f>
        <v/>
      </c>
      <c r="AS27" s="36" t="str">
        <f>IF(AR27="","",AVERAGE('UC1-verso'!AS27,'UC2-verso'!AS27,'UC3-verso'!AS27,'UC4-verso'!AS27,'UC5-verso'!AS27,'UC6-verso'!AS27,'UC7-verso'!AS27,'UC8-verso'!AS27,'UC9-verso'!AS27,'UC10-verso'!AS27))</f>
        <v/>
      </c>
      <c r="AT27" s="37" t="str">
        <f t="shared" si="0"/>
        <v/>
      </c>
      <c r="AU27" s="66" t="str">
        <f>IF(AS27="","",IF(OR(AS27&lt;50,AR27&gt;((DADOS_GERAIS!D$49)/4)),"N","C"))</f>
        <v/>
      </c>
    </row>
    <row r="28" spans="1:47" ht="12" customHeight="1" x14ac:dyDescent="0.2">
      <c r="A28" s="109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18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SUM(IF('UC1-frente'!$I$13='UC2-frente'!$I$13,0,'UC1-verso'!AR28),IF('UC2-frente'!$I$13='UC3-frente'!$I$13,0,'UC2-verso'!AR28),IF('UC3-frente'!$I$13='UC4-frente'!$I$13,0,'UC3-verso'!AR28),IF('UC4-frente'!$I$13='UC5-frente'!$I$13,0,'UC4-verso'!AR28),IF('UC5-frente'!$I$13='UC6-frente'!$I$13,0,'UC5-verso'!AR28),IF('UC6-frente'!$I$13='UC7-frente'!$I$13,0,'UC6-verso'!AR28),IF('UC7-frente'!$I$13='UC8-frente'!$I$13,0,'UC7-verso'!AR28),IF('UC8-frente'!$I$13='UC9-frente'!$I$13,0,'UC8-verso'!AR28),IF('UC9-frente'!$I$13='UC10-frente'!$I$13,0,'UC9-verso'!AR28),'UC10-verso'!AR28))</f>
        <v/>
      </c>
      <c r="AS28" s="36" t="str">
        <f>IF(AR28="","",AVERAGE('UC1-verso'!AS28,'UC2-verso'!AS28,'UC3-verso'!AS28,'UC4-verso'!AS28,'UC5-verso'!AS28,'UC6-verso'!AS28,'UC7-verso'!AS28,'UC8-verso'!AS28,'UC9-verso'!AS28,'UC10-verso'!AS28))</f>
        <v/>
      </c>
      <c r="AT28" s="37" t="str">
        <f t="shared" si="0"/>
        <v/>
      </c>
      <c r="AU28" s="66" t="str">
        <f>IF(AS28="","",IF(OR(AS28&lt;50,AR28&gt;((DADOS_GERAIS!D$49)/4)),"N","C"))</f>
        <v/>
      </c>
    </row>
    <row r="29" spans="1:47" ht="12" customHeight="1" x14ac:dyDescent="0.2">
      <c r="A29" s="109" t="str">
        <f>IF(B29="","",27)</f>
        <v/>
      </c>
      <c r="B29" s="212" t="str">
        <f>IF(ISBLANK(DADOS_GERAIS!C30),"",DADOS_GERAIS!C30)</f>
        <v/>
      </c>
      <c r="C29" s="212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51"/>
      <c r="AJ29" s="52"/>
      <c r="AK29" s="52"/>
      <c r="AL29" s="52"/>
      <c r="AM29" s="53"/>
      <c r="AN29" s="54"/>
      <c r="AO29" s="18"/>
      <c r="AP29" s="18"/>
      <c r="AQ29" s="18"/>
      <c r="AR29" s="37" t="str">
        <f>IF(B29="","",SUM(IF('UC1-frente'!$I$13='UC2-frente'!$I$13,0,'UC1-verso'!AR29),IF('UC2-frente'!$I$13='UC3-frente'!$I$13,0,'UC2-verso'!AR29),IF('UC3-frente'!$I$13='UC4-frente'!$I$13,0,'UC3-verso'!AR29),IF('UC4-frente'!$I$13='UC5-frente'!$I$13,0,'UC4-verso'!AR29),IF('UC5-frente'!$I$13='UC6-frente'!$I$13,0,'UC5-verso'!AR29),IF('UC6-frente'!$I$13='UC7-frente'!$I$13,0,'UC6-verso'!AR29),IF('UC7-frente'!$I$13='UC8-frente'!$I$13,0,'UC7-verso'!AR29),IF('UC8-frente'!$I$13='UC9-frente'!$I$13,0,'UC8-verso'!AR29),IF('UC9-frente'!$I$13='UC10-frente'!$I$13,0,'UC9-verso'!AR29),'UC10-verso'!AR29))</f>
        <v/>
      </c>
      <c r="AS29" s="36" t="str">
        <f>IF(AR29="","",AVERAGE('UC1-verso'!AS29,'UC2-verso'!AS29,'UC3-verso'!AS29,'UC4-verso'!AS29,'UC5-verso'!AS29,'UC6-verso'!AS29,'UC7-verso'!AS29,'UC8-verso'!AS29,'UC9-verso'!AS29,'UC10-verso'!AS29))</f>
        <v/>
      </c>
      <c r="AT29" s="37" t="str">
        <f t="shared" si="0"/>
        <v/>
      </c>
      <c r="AU29" s="66" t="str">
        <f>IF(AS29="","",IF(OR(AS29&lt;50,AR29&gt;((DADOS_GERAIS!D$49)/4)),"N","C"))</f>
        <v/>
      </c>
    </row>
    <row r="30" spans="1:47" ht="12" customHeight="1" x14ac:dyDescent="0.2">
      <c r="A30" s="109" t="str">
        <f>IF(B30="","",28)</f>
        <v/>
      </c>
      <c r="B30" s="212" t="str">
        <f>IF(ISBLANK(DADOS_GERAIS!C31),"",DADOS_GERAIS!C31)</f>
        <v/>
      </c>
      <c r="C30" s="212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51"/>
      <c r="AJ30" s="55"/>
      <c r="AK30" s="55"/>
      <c r="AL30" s="55"/>
      <c r="AM30" s="56"/>
      <c r="AN30" s="54"/>
      <c r="AO30" s="18"/>
      <c r="AP30" s="18"/>
      <c r="AQ30" s="18"/>
      <c r="AR30" s="37" t="str">
        <f>IF(B30="","",SUM(IF('UC1-frente'!$I$13='UC2-frente'!$I$13,0,'UC1-verso'!AR30),IF('UC2-frente'!$I$13='UC3-frente'!$I$13,0,'UC2-verso'!AR30),IF('UC3-frente'!$I$13='UC4-frente'!$I$13,0,'UC3-verso'!AR30),IF('UC4-frente'!$I$13='UC5-frente'!$I$13,0,'UC4-verso'!AR30),IF('UC5-frente'!$I$13='UC6-frente'!$I$13,0,'UC5-verso'!AR30),IF('UC6-frente'!$I$13='UC7-frente'!$I$13,0,'UC6-verso'!AR30),IF('UC7-frente'!$I$13='UC8-frente'!$I$13,0,'UC7-verso'!AR30),IF('UC8-frente'!$I$13='UC9-frente'!$I$13,0,'UC8-verso'!AR30),IF('UC9-frente'!$I$13='UC10-frente'!$I$13,0,'UC9-verso'!AR30),'UC10-verso'!AR30))</f>
        <v/>
      </c>
      <c r="AS30" s="36" t="str">
        <f>IF(AR30="","",AVERAGE('UC1-verso'!AS30,'UC2-verso'!AS30,'UC3-verso'!AS30,'UC4-verso'!AS30,'UC5-verso'!AS30,'UC6-verso'!AS30,'UC7-verso'!AS30,'UC8-verso'!AS30,'UC9-verso'!AS30,'UC10-verso'!AS30))</f>
        <v/>
      </c>
      <c r="AT30" s="37" t="str">
        <f t="shared" si="0"/>
        <v/>
      </c>
      <c r="AU30" s="66" t="str">
        <f>IF(AS30="","",IF(OR(AS30&lt;50,AR30&gt;((DADOS_GERAIS!D$49)/4)),"N","C"))</f>
        <v/>
      </c>
    </row>
    <row r="31" spans="1:47" ht="12" customHeight="1" x14ac:dyDescent="0.2">
      <c r="A31" s="109" t="str">
        <f>IF(B31="","",29)</f>
        <v/>
      </c>
      <c r="B31" s="212" t="str">
        <f>IF(ISBLANK(DADOS_GERAIS!C32),"",DADOS_GERAIS!C32)</f>
        <v/>
      </c>
      <c r="C31" s="212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51"/>
      <c r="AJ31" s="52"/>
      <c r="AK31" s="52"/>
      <c r="AL31" s="52"/>
      <c r="AM31" s="53"/>
      <c r="AN31" s="54"/>
      <c r="AO31" s="18"/>
      <c r="AP31" s="18"/>
      <c r="AQ31" s="18"/>
      <c r="AR31" s="37" t="str">
        <f>IF(B31="","",SUM(IF('UC1-frente'!$I$13='UC2-frente'!$I$13,0,'UC1-verso'!AR31),IF('UC2-frente'!$I$13='UC3-frente'!$I$13,0,'UC2-verso'!AR31),IF('UC3-frente'!$I$13='UC4-frente'!$I$13,0,'UC3-verso'!AR31),IF('UC4-frente'!$I$13='UC5-frente'!$I$13,0,'UC4-verso'!AR31),IF('UC5-frente'!$I$13='UC6-frente'!$I$13,0,'UC5-verso'!AR31),IF('UC6-frente'!$I$13='UC7-frente'!$I$13,0,'UC6-verso'!AR31),IF('UC7-frente'!$I$13='UC8-frente'!$I$13,0,'UC7-verso'!AR31),IF('UC8-frente'!$I$13='UC9-frente'!$I$13,0,'UC8-verso'!AR31),IF('UC9-frente'!$I$13='UC10-frente'!$I$13,0,'UC9-verso'!AR31),'UC10-verso'!AR31))</f>
        <v/>
      </c>
      <c r="AS31" s="36" t="str">
        <f>IF(AR31="","",AVERAGE('UC1-verso'!AS31,'UC2-verso'!AS31,'UC3-verso'!AS31,'UC4-verso'!AS31,'UC5-verso'!AS31,'UC6-verso'!AS31,'UC7-verso'!AS31,'UC8-verso'!AS31,'UC9-verso'!AS31,'UC10-verso'!AS31))</f>
        <v/>
      </c>
      <c r="AT31" s="37" t="str">
        <f t="shared" si="0"/>
        <v/>
      </c>
      <c r="AU31" s="66" t="str">
        <f>IF(AS31="","",IF(OR(AS31&lt;50,AR31&gt;((DADOS_GERAIS!D$49)/4)),"N","C"))</f>
        <v/>
      </c>
    </row>
    <row r="32" spans="1:47" ht="12" customHeight="1" x14ac:dyDescent="0.2">
      <c r="A32" s="109" t="str">
        <f>IF(B32="","",30)</f>
        <v/>
      </c>
      <c r="B32" s="212" t="str">
        <f>IF(ISBLANK(DADOS_GERAIS!C33),"",DADOS_GERAIS!C33)</f>
        <v/>
      </c>
      <c r="C32" s="212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57"/>
      <c r="AJ32" s="55"/>
      <c r="AK32" s="55"/>
      <c r="AL32" s="55"/>
      <c r="AM32" s="56"/>
      <c r="AN32" s="54"/>
      <c r="AO32" s="18"/>
      <c r="AP32" s="18"/>
      <c r="AQ32" s="18"/>
      <c r="AR32" s="37" t="str">
        <f>IF(B32="","",SUM(IF('UC1-frente'!$I$13='UC2-frente'!$I$13,0,'UC1-verso'!AR32),IF('UC2-frente'!$I$13='UC3-frente'!$I$13,0,'UC2-verso'!AR32),IF('UC3-frente'!$I$13='UC4-frente'!$I$13,0,'UC3-verso'!AR32),IF('UC4-frente'!$I$13='UC5-frente'!$I$13,0,'UC4-verso'!AR32),IF('UC5-frente'!$I$13='UC6-frente'!$I$13,0,'UC5-verso'!AR32),IF('UC6-frente'!$I$13='UC7-frente'!$I$13,0,'UC6-verso'!AR32),IF('UC7-frente'!$I$13='UC8-frente'!$I$13,0,'UC7-verso'!AR32),IF('UC8-frente'!$I$13='UC9-frente'!$I$13,0,'UC8-verso'!AR32),IF('UC9-frente'!$I$13='UC10-frente'!$I$13,0,'UC9-verso'!AR32),'UC10-verso'!AR32))</f>
        <v/>
      </c>
      <c r="AS32" s="36" t="str">
        <f>IF(AR32="","",AVERAGE('UC1-verso'!AS32,'UC2-verso'!AS32,'UC3-verso'!AS32,'UC4-verso'!AS32,'UC5-verso'!AS32,'UC6-verso'!AS32,'UC7-verso'!AS32,'UC8-verso'!AS32,'UC9-verso'!AS32,'UC10-verso'!AS32))</f>
        <v/>
      </c>
      <c r="AT32" s="37" t="str">
        <f t="shared" si="0"/>
        <v/>
      </c>
      <c r="AU32" s="66" t="str">
        <f>IF(AS32="","",IF(OR(AS32&lt;50,AR32&gt;((DADOS_GERAIS!D$49)/4)),"N","C"))</f>
        <v/>
      </c>
    </row>
    <row r="33" spans="1:47" ht="12" customHeight="1" x14ac:dyDescent="0.2">
      <c r="A33" s="109" t="str">
        <f>IF(B33="","",31)</f>
        <v/>
      </c>
      <c r="B33" s="212" t="str">
        <f>IF(ISBLANK(DADOS_GERAIS!C34),"",DADOS_GERAIS!C34)</f>
        <v/>
      </c>
      <c r="C33" s="212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51"/>
      <c r="AJ33" s="52"/>
      <c r="AK33" s="52"/>
      <c r="AL33" s="52"/>
      <c r="AM33" s="53"/>
      <c r="AN33" s="54"/>
      <c r="AO33" s="18"/>
      <c r="AP33" s="18"/>
      <c r="AQ33" s="18"/>
      <c r="AR33" s="37" t="str">
        <f>IF(B33="","",SUM(IF('UC1-frente'!$I$13='UC2-frente'!$I$13,0,'UC1-verso'!AR33),IF('UC2-frente'!$I$13='UC3-frente'!$I$13,0,'UC2-verso'!AR33),IF('UC3-frente'!$I$13='UC4-frente'!$I$13,0,'UC3-verso'!AR33),IF('UC4-frente'!$I$13='UC5-frente'!$I$13,0,'UC4-verso'!AR33),IF('UC5-frente'!$I$13='UC6-frente'!$I$13,0,'UC5-verso'!AR33),IF('UC6-frente'!$I$13='UC7-frente'!$I$13,0,'UC6-verso'!AR33),IF('UC7-frente'!$I$13='UC8-frente'!$I$13,0,'UC7-verso'!AR33),IF('UC8-frente'!$I$13='UC9-frente'!$I$13,0,'UC8-verso'!AR33),IF('UC9-frente'!$I$13='UC10-frente'!$I$13,0,'UC9-verso'!AR33),'UC10-verso'!AR33))</f>
        <v/>
      </c>
      <c r="AS33" s="36" t="str">
        <f>IF(AR33="","",AVERAGE('UC1-verso'!AS33,'UC2-verso'!AS33,'UC3-verso'!AS33,'UC4-verso'!AS33,'UC5-verso'!AS33,'UC6-verso'!AS33,'UC7-verso'!AS33,'UC8-verso'!AS33,'UC9-verso'!AS33,'UC10-verso'!AS33))</f>
        <v/>
      </c>
      <c r="AT33" s="37" t="str">
        <f t="shared" si="0"/>
        <v/>
      </c>
      <c r="AU33" s="66" t="str">
        <f>IF(AS33="","",IF(OR(AS33&lt;50,AR33&gt;((DADOS_GERAIS!D$49)/4)),"N","C"))</f>
        <v/>
      </c>
    </row>
    <row r="34" spans="1:47" ht="12" customHeight="1" x14ac:dyDescent="0.2">
      <c r="A34" s="109" t="str">
        <f>IF(B34="","",32)</f>
        <v/>
      </c>
      <c r="B34" s="212" t="str">
        <f>IF(ISBLANK(DADOS_GERAIS!C35),"",DADOS_GERAIS!C35)</f>
        <v/>
      </c>
      <c r="C34" s="212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58"/>
      <c r="AJ34" s="52"/>
      <c r="AK34" s="52"/>
      <c r="AL34" s="52"/>
      <c r="AM34" s="53"/>
      <c r="AN34" s="54"/>
      <c r="AO34" s="18"/>
      <c r="AP34" s="18"/>
      <c r="AQ34" s="18"/>
      <c r="AR34" s="37" t="str">
        <f>IF(B34="","",SUM(IF('UC1-frente'!$I$13='UC2-frente'!$I$13,0,'UC1-verso'!AR34),IF('UC2-frente'!$I$13='UC3-frente'!$I$13,0,'UC2-verso'!AR34),IF('UC3-frente'!$I$13='UC4-frente'!$I$13,0,'UC3-verso'!AR34),IF('UC4-frente'!$I$13='UC5-frente'!$I$13,0,'UC4-verso'!AR34),IF('UC5-frente'!$I$13='UC6-frente'!$I$13,0,'UC5-verso'!AR34),IF('UC6-frente'!$I$13='UC7-frente'!$I$13,0,'UC6-verso'!AR34),IF('UC7-frente'!$I$13='UC8-frente'!$I$13,0,'UC7-verso'!AR34),IF('UC8-frente'!$I$13='UC9-frente'!$I$13,0,'UC8-verso'!AR34),IF('UC9-frente'!$I$13='UC10-frente'!$I$13,0,'UC9-verso'!AR34),'UC10-verso'!AR34))</f>
        <v/>
      </c>
      <c r="AS34" s="36" t="str">
        <f>IF(AR34="","",AVERAGE('UC1-verso'!AS34,'UC2-verso'!AS34,'UC3-verso'!AS34,'UC4-verso'!AS34,'UC5-verso'!AS34,'UC6-verso'!AS34,'UC7-verso'!AS34,'UC8-verso'!AS34,'UC9-verso'!AS34,'UC10-verso'!AS34))</f>
        <v/>
      </c>
      <c r="AT34" s="37" t="str">
        <f t="shared" si="0"/>
        <v/>
      </c>
      <c r="AU34" s="66" t="str">
        <f>IF(AS34="","",IF(OR(AS34&lt;50,AR34&gt;((DADOS_GERAIS!D$49)/4)),"N","C"))</f>
        <v/>
      </c>
    </row>
    <row r="36" spans="1:47" x14ac:dyDescent="0.2">
      <c r="A36" s="217" t="s">
        <v>8</v>
      </c>
      <c r="B36" s="217"/>
      <c r="C36" s="41"/>
      <c r="D36" s="41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41"/>
      <c r="B38" s="41"/>
      <c r="C38" s="41"/>
      <c r="D38" s="41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41"/>
      <c r="B40" s="41"/>
      <c r="C40" s="41"/>
      <c r="D40" s="41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45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49"/>
      <c r="R43" s="49"/>
      <c r="S43" s="49"/>
      <c r="T43" s="49"/>
      <c r="U43" s="49"/>
      <c r="V43" s="49"/>
      <c r="W43" s="49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mergeCells count="50">
    <mergeCell ref="AU1:AU2"/>
    <mergeCell ref="AT1:AT2"/>
    <mergeCell ref="B3:C3"/>
    <mergeCell ref="B5:C5"/>
    <mergeCell ref="B13:C13"/>
    <mergeCell ref="AR1:AR2"/>
    <mergeCell ref="AS1:AS2"/>
    <mergeCell ref="B19:C19"/>
    <mergeCell ref="A1:A2"/>
    <mergeCell ref="B1:B2"/>
    <mergeCell ref="B8:C8"/>
    <mergeCell ref="B9:C9"/>
    <mergeCell ref="B7:C7"/>
    <mergeCell ref="B12:C12"/>
    <mergeCell ref="B11:C11"/>
    <mergeCell ref="B4:C4"/>
    <mergeCell ref="B10:C10"/>
    <mergeCell ref="B16:C16"/>
    <mergeCell ref="B15:C15"/>
    <mergeCell ref="B14:C14"/>
    <mergeCell ref="B6:C6"/>
    <mergeCell ref="B24:C24"/>
    <mergeCell ref="B33:C33"/>
    <mergeCell ref="B17:C17"/>
    <mergeCell ref="B18:C18"/>
    <mergeCell ref="B25:C25"/>
    <mergeCell ref="B26:C26"/>
    <mergeCell ref="B23:C23"/>
    <mergeCell ref="B22:C22"/>
    <mergeCell ref="B30:C30"/>
    <mergeCell ref="B31:C31"/>
    <mergeCell ref="B27:C27"/>
    <mergeCell ref="B28:C28"/>
    <mergeCell ref="B29:C29"/>
    <mergeCell ref="B32:C32"/>
    <mergeCell ref="B20:C20"/>
    <mergeCell ref="B21:C21"/>
    <mergeCell ref="B34:C34"/>
    <mergeCell ref="A44:AE45"/>
    <mergeCell ref="AP39:AU39"/>
    <mergeCell ref="AP40:AU40"/>
    <mergeCell ref="A43:P43"/>
    <mergeCell ref="A39:D39"/>
    <mergeCell ref="AA39:AL39"/>
    <mergeCell ref="AA40:AL40"/>
    <mergeCell ref="A41:C41"/>
    <mergeCell ref="A36:B36"/>
    <mergeCell ref="A37:D37"/>
    <mergeCell ref="M40:X40"/>
    <mergeCell ref="M39:X39"/>
  </mergeCells>
  <phoneticPr fontId="2" type="noConversion"/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topLeftCell="A31" zoomScaleNormal="100" workbookViewId="0">
      <selection activeCell="B21" sqref="B21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116">
        <v>44405</v>
      </c>
      <c r="B3" s="83">
        <v>3</v>
      </c>
      <c r="C3" s="245" t="s">
        <v>96</v>
      </c>
      <c r="D3" s="245"/>
      <c r="E3" s="245"/>
      <c r="F3" s="245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116">
        <v>44406</v>
      </c>
      <c r="B4" s="83">
        <v>3</v>
      </c>
      <c r="C4" s="245" t="s">
        <v>97</v>
      </c>
      <c r="D4" s="245"/>
      <c r="E4" s="245"/>
      <c r="F4" s="245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116">
        <v>44412</v>
      </c>
      <c r="B5" s="83">
        <v>3</v>
      </c>
      <c r="C5" s="245" t="s">
        <v>98</v>
      </c>
      <c r="D5" s="245"/>
      <c r="E5" s="245"/>
      <c r="F5" s="245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116">
        <v>44413</v>
      </c>
      <c r="B6" s="83">
        <v>3</v>
      </c>
      <c r="C6" s="234" t="s">
        <v>99</v>
      </c>
      <c r="D6" s="235"/>
      <c r="E6" s="235"/>
      <c r="F6" s="236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116"/>
      <c r="B7" s="83"/>
      <c r="C7" s="242" t="s">
        <v>100</v>
      </c>
      <c r="D7" s="243"/>
      <c r="E7" s="243"/>
      <c r="F7" s="244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116">
        <v>44419</v>
      </c>
      <c r="B8" s="83">
        <v>3</v>
      </c>
      <c r="C8" s="231" t="s">
        <v>99</v>
      </c>
      <c r="D8" s="232"/>
      <c r="E8" s="232"/>
      <c r="F8" s="233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116"/>
      <c r="B9" s="83"/>
      <c r="C9" s="234" t="s">
        <v>100</v>
      </c>
      <c r="D9" s="235"/>
      <c r="E9" s="235"/>
      <c r="F9" s="236"/>
      <c r="G9" s="4"/>
      <c r="H9" s="5"/>
      <c r="I9" s="100"/>
      <c r="J9" s="27"/>
      <c r="K9" s="28" t="s">
        <v>42</v>
      </c>
      <c r="L9" s="27"/>
      <c r="M9" s="28" t="s">
        <v>42</v>
      </c>
      <c r="N9" s="27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116">
        <v>44420</v>
      </c>
      <c r="B10" s="83">
        <v>3</v>
      </c>
      <c r="C10" s="234" t="s">
        <v>99</v>
      </c>
      <c r="D10" s="235"/>
      <c r="E10" s="235"/>
      <c r="F10" s="236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116"/>
      <c r="B11" s="83"/>
      <c r="C11" s="242" t="s">
        <v>100</v>
      </c>
      <c r="D11" s="243"/>
      <c r="E11" s="243"/>
      <c r="F11" s="244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116">
        <v>44426</v>
      </c>
      <c r="B12" s="83">
        <v>3</v>
      </c>
      <c r="C12" s="231" t="s">
        <v>99</v>
      </c>
      <c r="D12" s="232"/>
      <c r="E12" s="232"/>
      <c r="F12" s="233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116"/>
      <c r="B13" s="83"/>
      <c r="C13" s="242" t="s">
        <v>100</v>
      </c>
      <c r="D13" s="243"/>
      <c r="E13" s="243"/>
      <c r="F13" s="244"/>
      <c r="G13" s="4"/>
      <c r="H13" s="5"/>
      <c r="I13" s="178" t="s">
        <v>71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116">
        <v>44427</v>
      </c>
      <c r="B14" s="83">
        <v>3</v>
      </c>
      <c r="C14" s="231" t="s">
        <v>99</v>
      </c>
      <c r="D14" s="232"/>
      <c r="E14" s="232"/>
      <c r="F14" s="233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116"/>
      <c r="B15" s="83"/>
      <c r="C15" s="234" t="s">
        <v>100</v>
      </c>
      <c r="D15" s="235"/>
      <c r="E15" s="235"/>
      <c r="F15" s="236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116">
        <v>44433</v>
      </c>
      <c r="B16" s="83">
        <v>3</v>
      </c>
      <c r="C16" s="234" t="s">
        <v>99</v>
      </c>
      <c r="D16" s="235"/>
      <c r="E16" s="235"/>
      <c r="F16" s="236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116"/>
      <c r="B17" s="83"/>
      <c r="C17" s="229" t="s">
        <v>100</v>
      </c>
      <c r="D17" s="230"/>
      <c r="E17" s="230"/>
      <c r="F17" s="230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116">
        <v>44434</v>
      </c>
      <c r="B18" s="83">
        <v>3</v>
      </c>
      <c r="C18" s="228" t="s">
        <v>99</v>
      </c>
      <c r="D18" s="228"/>
      <c r="E18" s="228"/>
      <c r="F18" s="228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IF(DADOS_GERAIS!D48="","",DADOS_GERAIS!D48)</f>
        <v/>
      </c>
      <c r="N18" s="211"/>
      <c r="O18" s="211"/>
      <c r="P18" s="108"/>
    </row>
    <row r="19" spans="1:16" ht="11.25" customHeight="1" x14ac:dyDescent="0.2">
      <c r="A19" s="116"/>
      <c r="B19" s="83"/>
      <c r="C19" s="229" t="s">
        <v>100</v>
      </c>
      <c r="D19" s="230"/>
      <c r="E19" s="230"/>
      <c r="F19" s="230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116"/>
      <c r="B20" s="83"/>
      <c r="C20" s="229"/>
      <c r="D20" s="230"/>
      <c r="E20" s="230"/>
      <c r="F20" s="230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116"/>
      <c r="B21" s="83"/>
      <c r="C21" s="228"/>
      <c r="D21" s="228"/>
      <c r="E21" s="228"/>
      <c r="F21" s="228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116"/>
      <c r="B22" s="83"/>
      <c r="C22" s="229"/>
      <c r="D22" s="230"/>
      <c r="E22" s="230"/>
      <c r="F22" s="230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>
        <f>VLOOKUP(I13,DADOS_GERAIS!C52:D61,2,0)</f>
        <v>30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01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51"/>
      <c r="O41" s="152"/>
      <c r="P41" s="153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>
        <f>IF(A3="","___/___/___",A3)</f>
        <v>44405</v>
      </c>
      <c r="J45" s="226"/>
      <c r="K45" s="227"/>
      <c r="L45" s="225">
        <f>IF(A3="","___/___/___",IF(I13='UC2-frente'!I13,'UC2-frente'!L45,MAX(A3:A45)))</f>
        <v>44434</v>
      </c>
      <c r="M45" s="227"/>
      <c r="N45" s="137">
        <f>IF(A3="","",SUM(B3:B45))</f>
        <v>30</v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I13:P13" name="Intervalo2"/>
    <protectedRange sqref="A3:F45" name="Intervalo1"/>
  </protectedRanges>
  <mergeCells count="111">
    <mergeCell ref="I29:P30"/>
    <mergeCell ref="N31:P31"/>
    <mergeCell ref="I31:K31"/>
    <mergeCell ref="I23:J23"/>
    <mergeCell ref="I33:K33"/>
    <mergeCell ref="I25:P28"/>
    <mergeCell ref="L32:L33"/>
    <mergeCell ref="I35:K35"/>
    <mergeCell ref="L40:L41"/>
    <mergeCell ref="M40:M41"/>
    <mergeCell ref="N40:P41"/>
    <mergeCell ref="M32:M33"/>
    <mergeCell ref="N32:P33"/>
    <mergeCell ref="L34:L35"/>
    <mergeCell ref="M34:M35"/>
    <mergeCell ref="N34:P35"/>
    <mergeCell ref="L36:L37"/>
    <mergeCell ref="M36:M37"/>
    <mergeCell ref="N36:P37"/>
    <mergeCell ref="L38:L39"/>
    <mergeCell ref="M38:M39"/>
    <mergeCell ref="N38:P39"/>
    <mergeCell ref="I37:K37"/>
    <mergeCell ref="I39:K39"/>
    <mergeCell ref="K21:P21"/>
    <mergeCell ref="I21:J21"/>
    <mergeCell ref="K17:P17"/>
    <mergeCell ref="K22:P22"/>
    <mergeCell ref="K18:L18"/>
    <mergeCell ref="M18:O18"/>
    <mergeCell ref="M19:O19"/>
    <mergeCell ref="M20:O20"/>
    <mergeCell ref="I24:P24"/>
    <mergeCell ref="K23:P23"/>
    <mergeCell ref="L1:P1"/>
    <mergeCell ref="L2:P2"/>
    <mergeCell ref="L3:P3"/>
    <mergeCell ref="A1:A2"/>
    <mergeCell ref="B1:B2"/>
    <mergeCell ref="C1:F2"/>
    <mergeCell ref="C3:F3"/>
    <mergeCell ref="C4:F4"/>
    <mergeCell ref="I5:P5"/>
    <mergeCell ref="C6:F6"/>
    <mergeCell ref="I6:P6"/>
    <mergeCell ref="C7:F7"/>
    <mergeCell ref="C8:F8"/>
    <mergeCell ref="I8:J8"/>
    <mergeCell ref="K8:L8"/>
    <mergeCell ref="M8:N8"/>
    <mergeCell ref="C5:F5"/>
    <mergeCell ref="I13:P13"/>
    <mergeCell ref="I12:P12"/>
    <mergeCell ref="C10:F10"/>
    <mergeCell ref="C13:F13"/>
    <mergeCell ref="C9:F9"/>
    <mergeCell ref="I10:P10"/>
    <mergeCell ref="C11:F11"/>
    <mergeCell ref="C12:F12"/>
    <mergeCell ref="I11:P11"/>
    <mergeCell ref="C19:F19"/>
    <mergeCell ref="C20:F20"/>
    <mergeCell ref="C14:F14"/>
    <mergeCell ref="C15:F15"/>
    <mergeCell ref="C16:F16"/>
    <mergeCell ref="I18:J18"/>
    <mergeCell ref="C17:F17"/>
    <mergeCell ref="I14:P14"/>
    <mergeCell ref="C18:F18"/>
    <mergeCell ref="I19:J19"/>
    <mergeCell ref="K19:L19"/>
    <mergeCell ref="I20:J20"/>
    <mergeCell ref="K20:L20"/>
    <mergeCell ref="I15:P16"/>
    <mergeCell ref="I17:J17"/>
    <mergeCell ref="C21:F21"/>
    <mergeCell ref="C22:F22"/>
    <mergeCell ref="C23:F23"/>
    <mergeCell ref="C24:F24"/>
    <mergeCell ref="C28:F28"/>
    <mergeCell ref="C29:F29"/>
    <mergeCell ref="C30:F30"/>
    <mergeCell ref="C27:F27"/>
    <mergeCell ref="C25:F25"/>
    <mergeCell ref="C26:F26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N44:P44"/>
    <mergeCell ref="C45:F45"/>
    <mergeCell ref="I45:K45"/>
    <mergeCell ref="L45:M45"/>
    <mergeCell ref="N45:P45"/>
    <mergeCell ref="C40:F40"/>
    <mergeCell ref="C41:F41"/>
    <mergeCell ref="C42:F42"/>
    <mergeCell ref="L42:L43"/>
    <mergeCell ref="C43:F43"/>
    <mergeCell ref="I43:K43"/>
    <mergeCell ref="C44:F44"/>
    <mergeCell ref="I44:K44"/>
    <mergeCell ref="L44:M44"/>
    <mergeCell ref="M42:M43"/>
    <mergeCell ref="N42:P43"/>
    <mergeCell ref="I41:K41"/>
  </mergeCells>
  <conditionalFormatting sqref="I6:P6 O9:P9 I18 I11 I21 I23 K23 I15">
    <cfRule type="cellIs" dxfId="19" priority="2" operator="equal">
      <formula>0</formula>
    </cfRule>
  </conditionalFormatting>
  <conditionalFormatting sqref="I13">
    <cfRule type="cellIs" dxfId="18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5121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5121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topLeftCell="A10" zoomScale="80" zoomScaleNormal="80" workbookViewId="0">
      <selection activeCell="AS8" sqref="AS8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570312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115" t="s">
        <v>4</v>
      </c>
      <c r="D1" s="254" t="s">
        <v>101</v>
      </c>
      <c r="E1" s="254"/>
      <c r="F1" s="254"/>
      <c r="G1" s="254"/>
      <c r="H1" s="254"/>
      <c r="I1" s="254"/>
      <c r="J1" s="254" t="s">
        <v>102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5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7">
        <v>28</v>
      </c>
      <c r="E2" s="97">
        <v>28</v>
      </c>
      <c r="F2" s="97">
        <v>28</v>
      </c>
      <c r="G2" s="97">
        <v>29</v>
      </c>
      <c r="H2" s="97">
        <v>29</v>
      </c>
      <c r="I2" s="97">
        <v>29</v>
      </c>
      <c r="J2" s="97">
        <v>4</v>
      </c>
      <c r="K2" s="97">
        <v>4</v>
      </c>
      <c r="L2" s="97">
        <v>4</v>
      </c>
      <c r="M2" s="97">
        <v>5</v>
      </c>
      <c r="N2" s="97">
        <v>5</v>
      </c>
      <c r="O2" s="97">
        <v>5</v>
      </c>
      <c r="P2" s="97">
        <v>11</v>
      </c>
      <c r="Q2" s="97">
        <v>11</v>
      </c>
      <c r="R2" s="97">
        <v>11</v>
      </c>
      <c r="S2" s="97">
        <v>12</v>
      </c>
      <c r="T2" s="97">
        <v>12</v>
      </c>
      <c r="U2" s="97">
        <v>12</v>
      </c>
      <c r="V2" s="97">
        <v>18</v>
      </c>
      <c r="W2" s="97">
        <v>18</v>
      </c>
      <c r="X2" s="97">
        <v>18</v>
      </c>
      <c r="Y2" s="97">
        <v>19</v>
      </c>
      <c r="Z2" s="97">
        <v>19</v>
      </c>
      <c r="AA2" s="97">
        <v>19</v>
      </c>
      <c r="AB2" s="97">
        <v>25</v>
      </c>
      <c r="AC2" s="97">
        <v>25</v>
      </c>
      <c r="AD2" s="97">
        <v>25</v>
      </c>
      <c r="AE2" s="97">
        <v>26</v>
      </c>
      <c r="AF2" s="97">
        <v>26</v>
      </c>
      <c r="AG2" s="97">
        <v>26</v>
      </c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98" t="s">
        <v>103</v>
      </c>
      <c r="E3" s="98" t="s">
        <v>103</v>
      </c>
      <c r="F3" s="98" t="s">
        <v>103</v>
      </c>
      <c r="G3" s="98" t="s">
        <v>103</v>
      </c>
      <c r="H3" s="98" t="s">
        <v>103</v>
      </c>
      <c r="I3" s="98" t="s">
        <v>103</v>
      </c>
      <c r="J3" s="98" t="s">
        <v>103</v>
      </c>
      <c r="K3" s="98" t="s">
        <v>103</v>
      </c>
      <c r="L3" s="98" t="s">
        <v>103</v>
      </c>
      <c r="M3" s="98" t="s">
        <v>103</v>
      </c>
      <c r="N3" s="98" t="s">
        <v>103</v>
      </c>
      <c r="O3" s="98" t="s">
        <v>103</v>
      </c>
      <c r="P3" s="98" t="s">
        <v>103</v>
      </c>
      <c r="Q3" s="98" t="s">
        <v>103</v>
      </c>
      <c r="R3" s="98" t="s">
        <v>103</v>
      </c>
      <c r="S3" s="98" t="s">
        <v>103</v>
      </c>
      <c r="T3" s="98" t="s">
        <v>103</v>
      </c>
      <c r="U3" s="98" t="s">
        <v>103</v>
      </c>
      <c r="V3" s="98" t="s">
        <v>104</v>
      </c>
      <c r="W3" s="98" t="s">
        <v>104</v>
      </c>
      <c r="X3" s="98" t="s">
        <v>104</v>
      </c>
      <c r="Y3" s="98" t="s">
        <v>103</v>
      </c>
      <c r="Z3" s="98" t="s">
        <v>103</v>
      </c>
      <c r="AA3" s="98" t="s">
        <v>103</v>
      </c>
      <c r="AB3" s="98" t="s">
        <v>103</v>
      </c>
      <c r="AC3" s="98" t="s">
        <v>103</v>
      </c>
      <c r="AD3" s="98" t="s">
        <v>103</v>
      </c>
      <c r="AE3" s="98" t="s">
        <v>103</v>
      </c>
      <c r="AF3" s="98" t="s">
        <v>103</v>
      </c>
      <c r="AG3" s="98" t="s">
        <v>103</v>
      </c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IF(B3="","",COUNTIFS(D3:AQ3,"|"))</f>
        <v>3</v>
      </c>
      <c r="AS3" s="83">
        <v>80</v>
      </c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98" t="s">
        <v>103</v>
      </c>
      <c r="E4" s="98" t="s">
        <v>103</v>
      </c>
      <c r="F4" s="98" t="s">
        <v>103</v>
      </c>
      <c r="G4" s="98" t="s">
        <v>103</v>
      </c>
      <c r="H4" s="98" t="s">
        <v>103</v>
      </c>
      <c r="I4" s="98" t="s">
        <v>103</v>
      </c>
      <c r="J4" s="98" t="s">
        <v>104</v>
      </c>
      <c r="K4" s="98" t="s">
        <v>104</v>
      </c>
      <c r="L4" s="98" t="s">
        <v>104</v>
      </c>
      <c r="M4" s="98" t="s">
        <v>104</v>
      </c>
      <c r="N4" s="98" t="s">
        <v>104</v>
      </c>
      <c r="O4" s="98" t="s">
        <v>104</v>
      </c>
      <c r="P4" s="98" t="s">
        <v>103</v>
      </c>
      <c r="Q4" s="98" t="s">
        <v>103</v>
      </c>
      <c r="R4" s="98" t="s">
        <v>103</v>
      </c>
      <c r="S4" s="98" t="s">
        <v>103</v>
      </c>
      <c r="T4" s="98" t="s">
        <v>103</v>
      </c>
      <c r="U4" s="98" t="s">
        <v>103</v>
      </c>
      <c r="V4" s="98" t="s">
        <v>103</v>
      </c>
      <c r="W4" s="98" t="s">
        <v>103</v>
      </c>
      <c r="X4" s="98" t="s">
        <v>103</v>
      </c>
      <c r="Y4" s="98" t="s">
        <v>103</v>
      </c>
      <c r="Z4" s="98" t="s">
        <v>103</v>
      </c>
      <c r="AA4" s="98" t="s">
        <v>103</v>
      </c>
      <c r="AB4" s="98" t="s">
        <v>103</v>
      </c>
      <c r="AC4" s="98" t="s">
        <v>103</v>
      </c>
      <c r="AD4" s="98" t="s">
        <v>103</v>
      </c>
      <c r="AE4" s="98" t="s">
        <v>103</v>
      </c>
      <c r="AF4" s="98" t="s">
        <v>103</v>
      </c>
      <c r="AG4" s="98" t="s">
        <v>103</v>
      </c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 t="shared" ref="AR4:AR34" si="0">IF(B4="","",COUNTIFS(D4:AQ4,"|"))</f>
        <v>6</v>
      </c>
      <c r="AS4" s="83">
        <v>80</v>
      </c>
      <c r="AT4" s="37">
        <f t="shared" ref="AT4:AT34" si="1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98" t="s">
        <v>103</v>
      </c>
      <c r="E5" s="98" t="s">
        <v>103</v>
      </c>
      <c r="F5" s="98" t="s">
        <v>103</v>
      </c>
      <c r="G5" s="98" t="s">
        <v>103</v>
      </c>
      <c r="H5" s="98" t="s">
        <v>103</v>
      </c>
      <c r="I5" s="98" t="s">
        <v>103</v>
      </c>
      <c r="J5" s="98" t="s">
        <v>103</v>
      </c>
      <c r="K5" s="98" t="s">
        <v>103</v>
      </c>
      <c r="L5" s="98" t="s">
        <v>103</v>
      </c>
      <c r="M5" s="98" t="s">
        <v>103</v>
      </c>
      <c r="N5" s="98" t="s">
        <v>103</v>
      </c>
      <c r="O5" s="98" t="s">
        <v>103</v>
      </c>
      <c r="P5" s="98" t="s">
        <v>103</v>
      </c>
      <c r="Q5" s="98" t="s">
        <v>103</v>
      </c>
      <c r="R5" s="98" t="s">
        <v>103</v>
      </c>
      <c r="S5" s="98" t="s">
        <v>103</v>
      </c>
      <c r="T5" s="98" t="s">
        <v>103</v>
      </c>
      <c r="U5" s="98" t="s">
        <v>103</v>
      </c>
      <c r="V5" s="98" t="s">
        <v>103</v>
      </c>
      <c r="W5" s="98" t="s">
        <v>103</v>
      </c>
      <c r="X5" s="98" t="s">
        <v>103</v>
      </c>
      <c r="Y5" s="98" t="s">
        <v>103</v>
      </c>
      <c r="Z5" s="98" t="s">
        <v>103</v>
      </c>
      <c r="AA5" s="98" t="s">
        <v>103</v>
      </c>
      <c r="AB5" s="98" t="s">
        <v>103</v>
      </c>
      <c r="AC5" s="98" t="s">
        <v>103</v>
      </c>
      <c r="AD5" s="98" t="s">
        <v>103</v>
      </c>
      <c r="AE5" s="98" t="s">
        <v>103</v>
      </c>
      <c r="AF5" s="98" t="s">
        <v>103</v>
      </c>
      <c r="AG5" s="98" t="s">
        <v>103</v>
      </c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 t="shared" si="0"/>
        <v>0</v>
      </c>
      <c r="AS5" s="83">
        <v>90</v>
      </c>
      <c r="AT5" s="37">
        <f t="shared" si="1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98" t="s">
        <v>103</v>
      </c>
      <c r="E6" s="98" t="s">
        <v>103</v>
      </c>
      <c r="F6" s="98" t="s">
        <v>103</v>
      </c>
      <c r="G6" s="98" t="s">
        <v>103</v>
      </c>
      <c r="H6" s="98" t="s">
        <v>103</v>
      </c>
      <c r="I6" s="98" t="s">
        <v>103</v>
      </c>
      <c r="J6" s="98" t="s">
        <v>103</v>
      </c>
      <c r="K6" s="98" t="s">
        <v>103</v>
      </c>
      <c r="L6" s="98" t="s">
        <v>103</v>
      </c>
      <c r="M6" s="98" t="s">
        <v>103</v>
      </c>
      <c r="N6" s="98" t="s">
        <v>103</v>
      </c>
      <c r="O6" s="98" t="s">
        <v>103</v>
      </c>
      <c r="P6" s="98" t="s">
        <v>103</v>
      </c>
      <c r="Q6" s="98" t="s">
        <v>103</v>
      </c>
      <c r="R6" s="98" t="s">
        <v>103</v>
      </c>
      <c r="S6" s="98" t="s">
        <v>103</v>
      </c>
      <c r="T6" s="98" t="s">
        <v>103</v>
      </c>
      <c r="U6" s="98" t="s">
        <v>103</v>
      </c>
      <c r="V6" s="98" t="s">
        <v>103</v>
      </c>
      <c r="W6" s="98" t="s">
        <v>103</v>
      </c>
      <c r="X6" s="98" t="s">
        <v>103</v>
      </c>
      <c r="Y6" s="98" t="s">
        <v>103</v>
      </c>
      <c r="Z6" s="98" t="s">
        <v>103</v>
      </c>
      <c r="AA6" s="98" t="s">
        <v>103</v>
      </c>
      <c r="AB6" s="98" t="s">
        <v>103</v>
      </c>
      <c r="AC6" s="98" t="s">
        <v>103</v>
      </c>
      <c r="AD6" s="98" t="s">
        <v>103</v>
      </c>
      <c r="AE6" s="98" t="s">
        <v>103</v>
      </c>
      <c r="AF6" s="98" t="s">
        <v>103</v>
      </c>
      <c r="AG6" s="98" t="s">
        <v>103</v>
      </c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 t="shared" si="0"/>
        <v>0</v>
      </c>
      <c r="AS6" s="83">
        <v>90</v>
      </c>
      <c r="AT6" s="37">
        <f t="shared" si="1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98" t="s">
        <v>103</v>
      </c>
      <c r="E7" s="98" t="s">
        <v>103</v>
      </c>
      <c r="F7" s="98" t="s">
        <v>103</v>
      </c>
      <c r="G7" s="98" t="s">
        <v>103</v>
      </c>
      <c r="H7" s="98" t="s">
        <v>103</v>
      </c>
      <c r="I7" s="98" t="s">
        <v>103</v>
      </c>
      <c r="J7" s="98" t="s">
        <v>103</v>
      </c>
      <c r="K7" s="98" t="s">
        <v>103</v>
      </c>
      <c r="L7" s="98" t="s">
        <v>103</v>
      </c>
      <c r="M7" s="98" t="s">
        <v>103</v>
      </c>
      <c r="N7" s="98" t="s">
        <v>103</v>
      </c>
      <c r="O7" s="98" t="s">
        <v>103</v>
      </c>
      <c r="P7" s="98" t="s">
        <v>104</v>
      </c>
      <c r="Q7" s="98" t="s">
        <v>104</v>
      </c>
      <c r="R7" s="98" t="s">
        <v>104</v>
      </c>
      <c r="S7" s="98" t="s">
        <v>103</v>
      </c>
      <c r="T7" s="98" t="s">
        <v>103</v>
      </c>
      <c r="U7" s="98" t="s">
        <v>103</v>
      </c>
      <c r="V7" s="98" t="s">
        <v>103</v>
      </c>
      <c r="W7" s="98" t="s">
        <v>103</v>
      </c>
      <c r="X7" s="98" t="s">
        <v>103</v>
      </c>
      <c r="Y7" s="98" t="s">
        <v>103</v>
      </c>
      <c r="Z7" s="98" t="s">
        <v>103</v>
      </c>
      <c r="AA7" s="98" t="s">
        <v>103</v>
      </c>
      <c r="AB7" s="98" t="s">
        <v>103</v>
      </c>
      <c r="AC7" s="98" t="s">
        <v>103</v>
      </c>
      <c r="AD7" s="98" t="s">
        <v>103</v>
      </c>
      <c r="AE7" s="98" t="s">
        <v>103</v>
      </c>
      <c r="AF7" s="98" t="s">
        <v>103</v>
      </c>
      <c r="AG7" s="98" t="s">
        <v>103</v>
      </c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 t="shared" si="0"/>
        <v>3</v>
      </c>
      <c r="AS7" s="83">
        <v>70</v>
      </c>
      <c r="AT7" s="37">
        <f t="shared" si="1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98" t="s">
        <v>103</v>
      </c>
      <c r="E8" s="98" t="s">
        <v>103</v>
      </c>
      <c r="F8" s="98" t="s">
        <v>103</v>
      </c>
      <c r="G8" s="98" t="s">
        <v>103</v>
      </c>
      <c r="H8" s="98" t="s">
        <v>103</v>
      </c>
      <c r="I8" s="98" t="s">
        <v>103</v>
      </c>
      <c r="J8" s="98" t="s">
        <v>103</v>
      </c>
      <c r="K8" s="98" t="s">
        <v>103</v>
      </c>
      <c r="L8" s="98" t="s">
        <v>103</v>
      </c>
      <c r="M8" s="98" t="s">
        <v>103</v>
      </c>
      <c r="N8" s="98" t="s">
        <v>103</v>
      </c>
      <c r="O8" s="98" t="s">
        <v>103</v>
      </c>
      <c r="P8" s="98" t="s">
        <v>103</v>
      </c>
      <c r="Q8" s="98" t="s">
        <v>103</v>
      </c>
      <c r="R8" s="98" t="s">
        <v>103</v>
      </c>
      <c r="S8" s="98" t="s">
        <v>103</v>
      </c>
      <c r="T8" s="98" t="s">
        <v>103</v>
      </c>
      <c r="U8" s="98" t="s">
        <v>103</v>
      </c>
      <c r="V8" s="98" t="s">
        <v>103</v>
      </c>
      <c r="W8" s="98" t="s">
        <v>103</v>
      </c>
      <c r="X8" s="98" t="s">
        <v>103</v>
      </c>
      <c r="Y8" s="98" t="s">
        <v>103</v>
      </c>
      <c r="Z8" s="98" t="s">
        <v>103</v>
      </c>
      <c r="AA8" s="98" t="s">
        <v>103</v>
      </c>
      <c r="AB8" s="98" t="s">
        <v>103</v>
      </c>
      <c r="AC8" s="98" t="s">
        <v>103</v>
      </c>
      <c r="AD8" s="98" t="s">
        <v>103</v>
      </c>
      <c r="AE8" s="98" t="s">
        <v>103</v>
      </c>
      <c r="AF8" s="98" t="s">
        <v>103</v>
      </c>
      <c r="AG8" s="98" t="s">
        <v>103</v>
      </c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 t="shared" si="0"/>
        <v>0</v>
      </c>
      <c r="AS8" s="83">
        <v>90</v>
      </c>
      <c r="AT8" s="37">
        <f t="shared" si="1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98" t="s">
        <v>104</v>
      </c>
      <c r="E9" s="98" t="s">
        <v>104</v>
      </c>
      <c r="F9" s="98" t="s">
        <v>104</v>
      </c>
      <c r="G9" s="98" t="s">
        <v>103</v>
      </c>
      <c r="H9" s="98" t="s">
        <v>103</v>
      </c>
      <c r="I9" s="98" t="s">
        <v>103</v>
      </c>
      <c r="J9" s="98" t="s">
        <v>103</v>
      </c>
      <c r="K9" s="98" t="s">
        <v>103</v>
      </c>
      <c r="L9" s="98" t="s">
        <v>103</v>
      </c>
      <c r="M9" s="98" t="s">
        <v>103</v>
      </c>
      <c r="N9" s="98" t="s">
        <v>103</v>
      </c>
      <c r="O9" s="98" t="s">
        <v>103</v>
      </c>
      <c r="P9" s="98" t="s">
        <v>104</v>
      </c>
      <c r="Q9" s="98" t="s">
        <v>104</v>
      </c>
      <c r="R9" s="98" t="s">
        <v>104</v>
      </c>
      <c r="S9" s="98" t="s">
        <v>103</v>
      </c>
      <c r="T9" s="98" t="s">
        <v>103</v>
      </c>
      <c r="U9" s="98" t="s">
        <v>103</v>
      </c>
      <c r="V9" s="98" t="s">
        <v>103</v>
      </c>
      <c r="W9" s="98" t="s">
        <v>103</v>
      </c>
      <c r="X9" s="98" t="s">
        <v>103</v>
      </c>
      <c r="Y9" s="98" t="s">
        <v>103</v>
      </c>
      <c r="Z9" s="98" t="s">
        <v>103</v>
      </c>
      <c r="AA9" s="98" t="s">
        <v>103</v>
      </c>
      <c r="AB9" s="98" t="s">
        <v>103</v>
      </c>
      <c r="AC9" s="98" t="s">
        <v>103</v>
      </c>
      <c r="AD9" s="98" t="s">
        <v>103</v>
      </c>
      <c r="AE9" s="98" t="s">
        <v>103</v>
      </c>
      <c r="AF9" s="98" t="s">
        <v>103</v>
      </c>
      <c r="AG9" s="98" t="s">
        <v>103</v>
      </c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 t="shared" si="0"/>
        <v>6</v>
      </c>
      <c r="AS9" s="83">
        <v>80</v>
      </c>
      <c r="AT9" s="37">
        <f t="shared" si="1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98" t="s">
        <v>103</v>
      </c>
      <c r="E10" s="98" t="s">
        <v>103</v>
      </c>
      <c r="F10" s="98" t="s">
        <v>103</v>
      </c>
      <c r="G10" s="98" t="s">
        <v>103</v>
      </c>
      <c r="H10" s="98" t="s">
        <v>103</v>
      </c>
      <c r="I10" s="98" t="s">
        <v>103</v>
      </c>
      <c r="J10" s="98" t="s">
        <v>103</v>
      </c>
      <c r="K10" s="98" t="s">
        <v>103</v>
      </c>
      <c r="L10" s="98" t="s">
        <v>103</v>
      </c>
      <c r="M10" s="98" t="s">
        <v>103</v>
      </c>
      <c r="N10" s="98" t="s">
        <v>103</v>
      </c>
      <c r="O10" s="98" t="s">
        <v>103</v>
      </c>
      <c r="P10" s="98" t="s">
        <v>103</v>
      </c>
      <c r="Q10" s="98" t="s">
        <v>103</v>
      </c>
      <c r="R10" s="98" t="s">
        <v>103</v>
      </c>
      <c r="S10" s="98" t="s">
        <v>103</v>
      </c>
      <c r="T10" s="98" t="s">
        <v>103</v>
      </c>
      <c r="U10" s="98" t="s">
        <v>103</v>
      </c>
      <c r="V10" s="98" t="s">
        <v>103</v>
      </c>
      <c r="W10" s="98" t="s">
        <v>103</v>
      </c>
      <c r="X10" s="98" t="s">
        <v>103</v>
      </c>
      <c r="Y10" s="98" t="s">
        <v>103</v>
      </c>
      <c r="Z10" s="98" t="s">
        <v>103</v>
      </c>
      <c r="AA10" s="98" t="s">
        <v>103</v>
      </c>
      <c r="AB10" s="98" t="s">
        <v>103</v>
      </c>
      <c r="AC10" s="98" t="s">
        <v>103</v>
      </c>
      <c r="AD10" s="98" t="s">
        <v>103</v>
      </c>
      <c r="AE10" s="98" t="s">
        <v>103</v>
      </c>
      <c r="AF10" s="98" t="s">
        <v>103</v>
      </c>
      <c r="AG10" s="98" t="s">
        <v>103</v>
      </c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 t="shared" si="0"/>
        <v>0</v>
      </c>
      <c r="AS10" s="83">
        <v>90</v>
      </c>
      <c r="AT10" s="37">
        <f t="shared" si="1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98" t="s">
        <v>104</v>
      </c>
      <c r="E11" s="98" t="s">
        <v>104</v>
      </c>
      <c r="F11" s="98" t="s">
        <v>104</v>
      </c>
      <c r="G11" s="98" t="s">
        <v>104</v>
      </c>
      <c r="H11" s="98" t="s">
        <v>104</v>
      </c>
      <c r="I11" s="98" t="s">
        <v>104</v>
      </c>
      <c r="J11" s="98" t="s">
        <v>104</v>
      </c>
      <c r="K11" s="98" t="s">
        <v>104</v>
      </c>
      <c r="L11" s="98" t="s">
        <v>104</v>
      </c>
      <c r="M11" s="98" t="s">
        <v>104</v>
      </c>
      <c r="N11" s="98" t="s">
        <v>104</v>
      </c>
      <c r="O11" s="98" t="s">
        <v>104</v>
      </c>
      <c r="P11" s="98" t="s">
        <v>104</v>
      </c>
      <c r="Q11" s="98" t="s">
        <v>104</v>
      </c>
      <c r="R11" s="98" t="s">
        <v>104</v>
      </c>
      <c r="S11" s="98" t="s">
        <v>104</v>
      </c>
      <c r="T11" s="98" t="s">
        <v>104</v>
      </c>
      <c r="U11" s="98" t="s">
        <v>104</v>
      </c>
      <c r="V11" s="98" t="s">
        <v>104</v>
      </c>
      <c r="W11" s="98" t="s">
        <v>104</v>
      </c>
      <c r="X11" s="98" t="s">
        <v>104</v>
      </c>
      <c r="Y11" s="98" t="s">
        <v>104</v>
      </c>
      <c r="Z11" s="98" t="s">
        <v>104</v>
      </c>
      <c r="AA11" s="98" t="s">
        <v>104</v>
      </c>
      <c r="AB11" s="98" t="s">
        <v>104</v>
      </c>
      <c r="AC11" s="98" t="s">
        <v>104</v>
      </c>
      <c r="AD11" s="98" t="s">
        <v>104</v>
      </c>
      <c r="AE11" s="98" t="s">
        <v>104</v>
      </c>
      <c r="AF11" s="98" t="s">
        <v>104</v>
      </c>
      <c r="AG11" s="98" t="s">
        <v>104</v>
      </c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 t="shared" si="0"/>
        <v>30</v>
      </c>
      <c r="AS11" s="83">
        <v>0</v>
      </c>
      <c r="AT11" s="37">
        <f t="shared" si="1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98" t="s">
        <v>104</v>
      </c>
      <c r="E12" s="98" t="s">
        <v>104</v>
      </c>
      <c r="F12" s="98" t="s">
        <v>104</v>
      </c>
      <c r="G12" s="98" t="s">
        <v>104</v>
      </c>
      <c r="H12" s="98" t="s">
        <v>104</v>
      </c>
      <c r="I12" s="98" t="s">
        <v>104</v>
      </c>
      <c r="J12" s="98" t="s">
        <v>103</v>
      </c>
      <c r="K12" s="98" t="s">
        <v>103</v>
      </c>
      <c r="L12" s="98" t="s">
        <v>103</v>
      </c>
      <c r="M12" s="98" t="s">
        <v>103</v>
      </c>
      <c r="N12" s="98" t="s">
        <v>103</v>
      </c>
      <c r="O12" s="98" t="s">
        <v>103</v>
      </c>
      <c r="P12" s="98" t="s">
        <v>103</v>
      </c>
      <c r="Q12" s="98" t="s">
        <v>103</v>
      </c>
      <c r="R12" s="98" t="s">
        <v>103</v>
      </c>
      <c r="S12" s="98" t="s">
        <v>103</v>
      </c>
      <c r="T12" s="98" t="s">
        <v>103</v>
      </c>
      <c r="U12" s="98" t="s">
        <v>103</v>
      </c>
      <c r="V12" s="98" t="s">
        <v>103</v>
      </c>
      <c r="W12" s="98" t="s">
        <v>103</v>
      </c>
      <c r="X12" s="98" t="s">
        <v>103</v>
      </c>
      <c r="Y12" s="98" t="s">
        <v>103</v>
      </c>
      <c r="Z12" s="98" t="s">
        <v>103</v>
      </c>
      <c r="AA12" s="98" t="s">
        <v>103</v>
      </c>
      <c r="AB12" s="98" t="s">
        <v>103</v>
      </c>
      <c r="AC12" s="98" t="s">
        <v>103</v>
      </c>
      <c r="AD12" s="98" t="s">
        <v>103</v>
      </c>
      <c r="AE12" s="98" t="s">
        <v>103</v>
      </c>
      <c r="AF12" s="98" t="s">
        <v>103</v>
      </c>
      <c r="AG12" s="98" t="s">
        <v>103</v>
      </c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 t="shared" si="0"/>
        <v>6</v>
      </c>
      <c r="AS12" s="83">
        <v>80</v>
      </c>
      <c r="AT12" s="37">
        <f t="shared" si="1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98" t="s">
        <v>104</v>
      </c>
      <c r="E13" s="98" t="s">
        <v>104</v>
      </c>
      <c r="F13" s="98" t="s">
        <v>104</v>
      </c>
      <c r="G13" s="98" t="s">
        <v>103</v>
      </c>
      <c r="H13" s="98" t="s">
        <v>103</v>
      </c>
      <c r="I13" s="98" t="s">
        <v>103</v>
      </c>
      <c r="J13" s="98" t="s">
        <v>103</v>
      </c>
      <c r="K13" s="98" t="s">
        <v>103</v>
      </c>
      <c r="L13" s="98" t="s">
        <v>103</v>
      </c>
      <c r="M13" s="98" t="s">
        <v>103</v>
      </c>
      <c r="N13" s="98" t="s">
        <v>103</v>
      </c>
      <c r="O13" s="98" t="s">
        <v>103</v>
      </c>
      <c r="P13" s="98" t="s">
        <v>104</v>
      </c>
      <c r="Q13" s="98" t="s">
        <v>104</v>
      </c>
      <c r="R13" s="98" t="s">
        <v>104</v>
      </c>
      <c r="S13" s="98" t="s">
        <v>104</v>
      </c>
      <c r="T13" s="98" t="s">
        <v>104</v>
      </c>
      <c r="U13" s="98" t="s">
        <v>104</v>
      </c>
      <c r="V13" s="98" t="s">
        <v>104</v>
      </c>
      <c r="W13" s="98" t="s">
        <v>104</v>
      </c>
      <c r="X13" s="98" t="s">
        <v>104</v>
      </c>
      <c r="Y13" s="98" t="s">
        <v>104</v>
      </c>
      <c r="Z13" s="98" t="s">
        <v>104</v>
      </c>
      <c r="AA13" s="98" t="s">
        <v>104</v>
      </c>
      <c r="AB13" s="98" t="s">
        <v>104</v>
      </c>
      <c r="AC13" s="98" t="s">
        <v>104</v>
      </c>
      <c r="AD13" s="98" t="s">
        <v>104</v>
      </c>
      <c r="AE13" s="98" t="s">
        <v>104</v>
      </c>
      <c r="AF13" s="98" t="s">
        <v>104</v>
      </c>
      <c r="AG13" s="98" t="s">
        <v>104</v>
      </c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 t="shared" si="0"/>
        <v>21</v>
      </c>
      <c r="AS13" s="83">
        <v>40</v>
      </c>
      <c r="AT13" s="37">
        <f t="shared" si="1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98" t="s">
        <v>103</v>
      </c>
      <c r="E14" s="98" t="s">
        <v>103</v>
      </c>
      <c r="F14" s="98" t="s">
        <v>103</v>
      </c>
      <c r="G14" s="98" t="s">
        <v>103</v>
      </c>
      <c r="H14" s="98" t="s">
        <v>103</v>
      </c>
      <c r="I14" s="98" t="s">
        <v>103</v>
      </c>
      <c r="J14" s="98" t="s">
        <v>103</v>
      </c>
      <c r="K14" s="98" t="s">
        <v>103</v>
      </c>
      <c r="L14" s="98" t="s">
        <v>103</v>
      </c>
      <c r="M14" s="98" t="s">
        <v>103</v>
      </c>
      <c r="N14" s="98" t="s">
        <v>103</v>
      </c>
      <c r="O14" s="98" t="s">
        <v>103</v>
      </c>
      <c r="P14" s="98" t="s">
        <v>103</v>
      </c>
      <c r="Q14" s="98" t="s">
        <v>103</v>
      </c>
      <c r="R14" s="98" t="s">
        <v>103</v>
      </c>
      <c r="S14" s="98" t="s">
        <v>103</v>
      </c>
      <c r="T14" s="98" t="s">
        <v>103</v>
      </c>
      <c r="U14" s="98" t="s">
        <v>103</v>
      </c>
      <c r="V14" s="98" t="s">
        <v>103</v>
      </c>
      <c r="W14" s="98" t="s">
        <v>103</v>
      </c>
      <c r="X14" s="98" t="s">
        <v>103</v>
      </c>
      <c r="Y14" s="98" t="s">
        <v>103</v>
      </c>
      <c r="Z14" s="98" t="s">
        <v>103</v>
      </c>
      <c r="AA14" s="98" t="s">
        <v>103</v>
      </c>
      <c r="AB14" s="98" t="s">
        <v>103</v>
      </c>
      <c r="AC14" s="98" t="s">
        <v>103</v>
      </c>
      <c r="AD14" s="98" t="s">
        <v>103</v>
      </c>
      <c r="AE14" s="98" t="s">
        <v>103</v>
      </c>
      <c r="AF14" s="98" t="s">
        <v>103</v>
      </c>
      <c r="AG14" s="98" t="s">
        <v>103</v>
      </c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 t="shared" si="0"/>
        <v>0</v>
      </c>
      <c r="AS14" s="83">
        <v>90</v>
      </c>
      <c r="AT14" s="37">
        <f t="shared" si="1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98" t="s">
        <v>103</v>
      </c>
      <c r="E15" s="98" t="s">
        <v>103</v>
      </c>
      <c r="F15" s="98" t="s">
        <v>103</v>
      </c>
      <c r="G15" s="98" t="s">
        <v>103</v>
      </c>
      <c r="H15" s="98" t="s">
        <v>103</v>
      </c>
      <c r="I15" s="98" t="s">
        <v>103</v>
      </c>
      <c r="J15" s="98" t="s">
        <v>103</v>
      </c>
      <c r="K15" s="98" t="s">
        <v>103</v>
      </c>
      <c r="L15" s="98" t="s">
        <v>103</v>
      </c>
      <c r="M15" s="98" t="s">
        <v>103</v>
      </c>
      <c r="N15" s="98" t="s">
        <v>103</v>
      </c>
      <c r="O15" s="98" t="s">
        <v>103</v>
      </c>
      <c r="P15" s="98" t="s">
        <v>103</v>
      </c>
      <c r="Q15" s="98" t="s">
        <v>103</v>
      </c>
      <c r="R15" s="98" t="s">
        <v>103</v>
      </c>
      <c r="S15" s="98" t="s">
        <v>103</v>
      </c>
      <c r="T15" s="98" t="s">
        <v>103</v>
      </c>
      <c r="U15" s="98" t="s">
        <v>103</v>
      </c>
      <c r="V15" s="98" t="s">
        <v>103</v>
      </c>
      <c r="W15" s="98" t="s">
        <v>103</v>
      </c>
      <c r="X15" s="98" t="s">
        <v>103</v>
      </c>
      <c r="Y15" s="98" t="s">
        <v>103</v>
      </c>
      <c r="Z15" s="98" t="s">
        <v>103</v>
      </c>
      <c r="AA15" s="98" t="s">
        <v>103</v>
      </c>
      <c r="AB15" s="98" t="s">
        <v>103</v>
      </c>
      <c r="AC15" s="98" t="s">
        <v>103</v>
      </c>
      <c r="AD15" s="98" t="s">
        <v>103</v>
      </c>
      <c r="AE15" s="98" t="s">
        <v>103</v>
      </c>
      <c r="AF15" s="98" t="s">
        <v>103</v>
      </c>
      <c r="AG15" s="98" t="s">
        <v>103</v>
      </c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 t="shared" si="0"/>
        <v>0</v>
      </c>
      <c r="AS15" s="83">
        <v>90</v>
      </c>
      <c r="AT15" s="37">
        <f t="shared" si="1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98" t="s">
        <v>103</v>
      </c>
      <c r="E16" s="98" t="s">
        <v>103</v>
      </c>
      <c r="F16" s="98" t="s">
        <v>103</v>
      </c>
      <c r="G16" s="98" t="s">
        <v>103</v>
      </c>
      <c r="H16" s="98" t="s">
        <v>103</v>
      </c>
      <c r="I16" s="98" t="s">
        <v>103</v>
      </c>
      <c r="J16" s="98" t="s">
        <v>103</v>
      </c>
      <c r="K16" s="98" t="s">
        <v>103</v>
      </c>
      <c r="L16" s="98" t="s">
        <v>103</v>
      </c>
      <c r="M16" s="98" t="s">
        <v>103</v>
      </c>
      <c r="N16" s="98" t="s">
        <v>103</v>
      </c>
      <c r="O16" s="98" t="s">
        <v>103</v>
      </c>
      <c r="P16" s="98" t="s">
        <v>103</v>
      </c>
      <c r="Q16" s="98" t="s">
        <v>103</v>
      </c>
      <c r="R16" s="98" t="s">
        <v>103</v>
      </c>
      <c r="S16" s="98" t="s">
        <v>103</v>
      </c>
      <c r="T16" s="98" t="s">
        <v>103</v>
      </c>
      <c r="U16" s="98" t="s">
        <v>103</v>
      </c>
      <c r="V16" s="98" t="s">
        <v>103</v>
      </c>
      <c r="W16" s="98" t="s">
        <v>103</v>
      </c>
      <c r="X16" s="98" t="s">
        <v>103</v>
      </c>
      <c r="Y16" s="98" t="s">
        <v>103</v>
      </c>
      <c r="Z16" s="98" t="s">
        <v>103</v>
      </c>
      <c r="AA16" s="98" t="s">
        <v>103</v>
      </c>
      <c r="AB16" s="98" t="s">
        <v>103</v>
      </c>
      <c r="AC16" s="98" t="s">
        <v>103</v>
      </c>
      <c r="AD16" s="98" t="s">
        <v>103</v>
      </c>
      <c r="AE16" s="98" t="s">
        <v>103</v>
      </c>
      <c r="AF16" s="98" t="s">
        <v>103</v>
      </c>
      <c r="AG16" s="98" t="s">
        <v>103</v>
      </c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 t="shared" si="0"/>
        <v>0</v>
      </c>
      <c r="AS16" s="83">
        <v>90</v>
      </c>
      <c r="AT16" s="37">
        <f t="shared" si="1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 t="shared" si="0"/>
        <v/>
      </c>
      <c r="AS17" s="14"/>
      <c r="AT17" s="37" t="str">
        <f t="shared" si="1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 t="shared" si="0"/>
        <v/>
      </c>
      <c r="AS18" s="14"/>
      <c r="AT18" s="37" t="str">
        <f t="shared" si="1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 t="shared" si="0"/>
        <v/>
      </c>
      <c r="AS19" s="14"/>
      <c r="AT19" s="37" t="str">
        <f t="shared" si="1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 t="shared" si="0"/>
        <v/>
      </c>
      <c r="AS20" s="14"/>
      <c r="AT20" s="37" t="str">
        <f t="shared" si="1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 t="shared" si="0"/>
        <v/>
      </c>
      <c r="AS21" s="14"/>
      <c r="AT21" s="37" t="str">
        <f t="shared" si="1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 t="shared" si="0"/>
        <v/>
      </c>
      <c r="AS22" s="14"/>
      <c r="AT22" s="37" t="str">
        <f t="shared" si="1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 t="shared" si="0"/>
        <v/>
      </c>
      <c r="AS23" s="14"/>
      <c r="AT23" s="37" t="str">
        <f t="shared" si="1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7"/>
      <c r="AJ24" s="52"/>
      <c r="AK24" s="52"/>
      <c r="AL24" s="52"/>
      <c r="AM24" s="53"/>
      <c r="AN24" s="70"/>
      <c r="AO24" s="69"/>
      <c r="AP24" s="69"/>
      <c r="AQ24" s="69"/>
      <c r="AR24" s="37" t="str">
        <f t="shared" si="0"/>
        <v/>
      </c>
      <c r="AS24" s="15"/>
      <c r="AT24" s="37" t="str">
        <f t="shared" si="1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70"/>
      <c r="AO25" s="69"/>
      <c r="AP25" s="69"/>
      <c r="AQ25" s="69"/>
      <c r="AR25" s="37" t="str">
        <f t="shared" si="0"/>
        <v/>
      </c>
      <c r="AS25" s="15"/>
      <c r="AT25" s="37" t="str">
        <f t="shared" si="1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67"/>
      <c r="AJ26" s="52"/>
      <c r="AK26" s="52"/>
      <c r="AL26" s="52"/>
      <c r="AM26" s="53"/>
      <c r="AN26" s="20"/>
      <c r="AO26" s="19"/>
      <c r="AP26" s="19"/>
      <c r="AQ26" s="19"/>
      <c r="AR26" s="37" t="str">
        <f t="shared" si="0"/>
        <v/>
      </c>
      <c r="AS26" s="16"/>
      <c r="AT26" s="37" t="str">
        <f t="shared" si="1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70"/>
      <c r="AO27" s="70"/>
      <c r="AP27" s="69"/>
      <c r="AQ27" s="70"/>
      <c r="AR27" s="37" t="str">
        <f t="shared" si="0"/>
        <v/>
      </c>
      <c r="AS27" s="15"/>
      <c r="AT27" s="37" t="str">
        <f t="shared" si="1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 t="shared" si="0"/>
        <v/>
      </c>
      <c r="AS28" s="17"/>
      <c r="AT28" s="37" t="str">
        <f t="shared" si="1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7"/>
      <c r="AJ29" s="52"/>
      <c r="AK29" s="52"/>
      <c r="AL29" s="52"/>
      <c r="AM29" s="53"/>
      <c r="AN29" s="70"/>
      <c r="AO29" s="69"/>
      <c r="AP29" s="69"/>
      <c r="AQ29" s="69"/>
      <c r="AR29" s="37" t="str">
        <f t="shared" si="0"/>
        <v/>
      </c>
      <c r="AS29" s="15"/>
      <c r="AT29" s="37" t="str">
        <f t="shared" si="1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7"/>
      <c r="AJ30" s="55"/>
      <c r="AK30" s="55"/>
      <c r="AL30" s="55"/>
      <c r="AM30" s="56"/>
      <c r="AN30" s="70"/>
      <c r="AO30" s="69"/>
      <c r="AP30" s="69"/>
      <c r="AQ30" s="69"/>
      <c r="AR30" s="37" t="str">
        <f t="shared" si="0"/>
        <v/>
      </c>
      <c r="AS30" s="15"/>
      <c r="AT30" s="37" t="str">
        <f t="shared" si="1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7"/>
      <c r="AJ31" s="52"/>
      <c r="AK31" s="52"/>
      <c r="AL31" s="52"/>
      <c r="AM31" s="53"/>
      <c r="AN31" s="70"/>
      <c r="AO31" s="69"/>
      <c r="AP31" s="69"/>
      <c r="AQ31" s="69"/>
      <c r="AR31" s="37" t="str">
        <f t="shared" si="0"/>
        <v/>
      </c>
      <c r="AS31" s="15"/>
      <c r="AT31" s="37" t="str">
        <f t="shared" si="1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70"/>
      <c r="AO32" s="69"/>
      <c r="AP32" s="69"/>
      <c r="AQ32" s="69"/>
      <c r="AR32" s="37" t="str">
        <f t="shared" si="0"/>
        <v/>
      </c>
      <c r="AS32" s="15"/>
      <c r="AT32" s="37" t="str">
        <f t="shared" si="1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7"/>
      <c r="AJ33" s="52"/>
      <c r="AK33" s="52"/>
      <c r="AL33" s="52"/>
      <c r="AM33" s="53"/>
      <c r="AN33" s="70"/>
      <c r="AO33" s="69"/>
      <c r="AP33" s="69"/>
      <c r="AQ33" s="69"/>
      <c r="AR33" s="37" t="str">
        <f t="shared" si="0"/>
        <v/>
      </c>
      <c r="AS33" s="15"/>
      <c r="AT33" s="37" t="str">
        <f t="shared" si="1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70"/>
      <c r="AO34" s="69"/>
      <c r="AP34" s="69"/>
      <c r="AQ34" s="69"/>
      <c r="AR34" s="37" t="str">
        <f t="shared" si="0"/>
        <v/>
      </c>
      <c r="AS34" s="15"/>
      <c r="AT34" s="37" t="str">
        <f t="shared" si="1"/>
        <v/>
      </c>
      <c r="AU34" s="66"/>
    </row>
    <row r="36" spans="1:47" x14ac:dyDescent="0.2">
      <c r="A36" s="217" t="s">
        <v>8</v>
      </c>
      <c r="B36" s="217"/>
      <c r="C36" s="104"/>
      <c r="D36" s="10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04"/>
      <c r="B38" s="104"/>
      <c r="C38" s="104"/>
      <c r="D38" s="10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04"/>
      <c r="B40" s="104"/>
      <c r="C40" s="104"/>
      <c r="D40" s="10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AS1:AS34" name="Intervalo2"/>
    <protectedRange sqref="D1:AQ34" name="Intervalo1"/>
  </protectedRanges>
  <mergeCells count="52">
    <mergeCell ref="B6:C6"/>
    <mergeCell ref="A1:A2"/>
    <mergeCell ref="B1:B2"/>
    <mergeCell ref="AT1:AT2"/>
    <mergeCell ref="AU1:AU2"/>
    <mergeCell ref="B3:C3"/>
    <mergeCell ref="B4:C4"/>
    <mergeCell ref="B5:C5"/>
    <mergeCell ref="AR1:AR2"/>
    <mergeCell ref="AS1:AS2"/>
    <mergeCell ref="D1:I1"/>
    <mergeCell ref="J1:AG1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P39:AU39"/>
    <mergeCell ref="M40:X40"/>
    <mergeCell ref="AA40:AL40"/>
    <mergeCell ref="AP40:AU40"/>
    <mergeCell ref="B31:C31"/>
    <mergeCell ref="B32:C32"/>
    <mergeCell ref="B33:C33"/>
    <mergeCell ref="B34:C34"/>
    <mergeCell ref="A36:B36"/>
    <mergeCell ref="A37:D37"/>
    <mergeCell ref="A44:AE45"/>
    <mergeCell ref="A41:C41"/>
    <mergeCell ref="A43:P43"/>
    <mergeCell ref="A39:D39"/>
    <mergeCell ref="M39:X39"/>
    <mergeCell ref="AA39:AL39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topLeftCell="A21" zoomScaleNormal="100" workbookViewId="0">
      <selection activeCell="A12" sqref="A12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116">
        <v>44440</v>
      </c>
      <c r="B3" s="83">
        <v>3</v>
      </c>
      <c r="C3" s="245" t="s">
        <v>105</v>
      </c>
      <c r="D3" s="245"/>
      <c r="E3" s="245"/>
      <c r="F3" s="245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116">
        <v>44441</v>
      </c>
      <c r="B4" s="83">
        <v>3</v>
      </c>
      <c r="C4" s="245" t="s">
        <v>106</v>
      </c>
      <c r="D4" s="245"/>
      <c r="E4" s="245"/>
      <c r="F4" s="245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116">
        <v>44447</v>
      </c>
      <c r="B5" s="83">
        <v>3</v>
      </c>
      <c r="C5" s="245" t="s">
        <v>107</v>
      </c>
      <c r="D5" s="245"/>
      <c r="E5" s="245"/>
      <c r="F5" s="245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116">
        <v>44448</v>
      </c>
      <c r="B6" s="83">
        <v>3</v>
      </c>
      <c r="C6" s="228" t="s">
        <v>108</v>
      </c>
      <c r="D6" s="228"/>
      <c r="E6" s="228"/>
      <c r="F6" s="228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116">
        <v>44455</v>
      </c>
      <c r="B7" s="83">
        <v>3</v>
      </c>
      <c r="C7" s="234" t="s">
        <v>108</v>
      </c>
      <c r="D7" s="235"/>
      <c r="E7" s="235"/>
      <c r="F7" s="236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116">
        <v>44461</v>
      </c>
      <c r="B8" s="83">
        <v>3</v>
      </c>
      <c r="C8" s="234" t="s">
        <v>109</v>
      </c>
      <c r="D8" s="235"/>
      <c r="E8" s="235"/>
      <c r="F8" s="236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116">
        <v>44462</v>
      </c>
      <c r="B9" s="83">
        <v>2</v>
      </c>
      <c r="C9" s="234" t="s">
        <v>109</v>
      </c>
      <c r="D9" s="235"/>
      <c r="E9" s="235"/>
      <c r="F9" s="236"/>
      <c r="G9" s="4"/>
      <c r="H9" s="5"/>
      <c r="I9" s="100"/>
      <c r="J9" s="27"/>
      <c r="K9" s="28" t="s">
        <v>42</v>
      </c>
      <c r="L9" s="27"/>
      <c r="M9" s="28" t="s">
        <v>42</v>
      </c>
      <c r="N9" s="27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116"/>
      <c r="B10" s="83"/>
      <c r="C10" s="256"/>
      <c r="D10" s="257"/>
      <c r="E10" s="257"/>
      <c r="F10" s="258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116"/>
      <c r="B11" s="83"/>
      <c r="C11" s="259"/>
      <c r="D11" s="259"/>
      <c r="E11" s="259"/>
      <c r="F11" s="259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116"/>
      <c r="B12" s="83"/>
      <c r="C12" s="245"/>
      <c r="D12" s="245"/>
      <c r="E12" s="245"/>
      <c r="F12" s="245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116"/>
      <c r="B13" s="83"/>
      <c r="C13" s="245"/>
      <c r="D13" s="245"/>
      <c r="E13" s="245"/>
      <c r="F13" s="245"/>
      <c r="G13" s="4"/>
      <c r="H13" s="5"/>
      <c r="I13" s="178" t="s">
        <v>72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116"/>
      <c r="B14" s="83"/>
      <c r="C14" s="234"/>
      <c r="D14" s="235"/>
      <c r="E14" s="235"/>
      <c r="F14" s="236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116"/>
      <c r="B15" s="83"/>
      <c r="C15" s="245"/>
      <c r="D15" s="245"/>
      <c r="E15" s="245"/>
      <c r="F15" s="245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99"/>
      <c r="B16" s="83"/>
      <c r="C16" s="255"/>
      <c r="D16" s="255"/>
      <c r="E16" s="255"/>
      <c r="F16" s="255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99"/>
      <c r="B17" s="83"/>
      <c r="C17" s="245"/>
      <c r="D17" s="245"/>
      <c r="E17" s="245"/>
      <c r="F17" s="245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99"/>
      <c r="B18" s="83"/>
      <c r="C18" s="255"/>
      <c r="D18" s="255"/>
      <c r="E18" s="255"/>
      <c r="F18" s="255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99"/>
      <c r="B19" s="83"/>
      <c r="C19" s="255"/>
      <c r="D19" s="255"/>
      <c r="E19" s="255"/>
      <c r="F19" s="255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99"/>
      <c r="B20" s="83"/>
      <c r="C20" s="255"/>
      <c r="D20" s="255"/>
      <c r="E20" s="255"/>
      <c r="F20" s="255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99"/>
      <c r="B21" s="83"/>
      <c r="C21" s="255"/>
      <c r="D21" s="255"/>
      <c r="E21" s="255"/>
      <c r="F21" s="255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99"/>
      <c r="B22" s="83"/>
      <c r="C22" s="255"/>
      <c r="D22" s="255"/>
      <c r="E22" s="255"/>
      <c r="F22" s="255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99"/>
      <c r="B23" s="83"/>
      <c r="C23" s="255"/>
      <c r="D23" s="255"/>
      <c r="E23" s="255"/>
      <c r="F23" s="255"/>
      <c r="G23" s="4"/>
      <c r="H23" s="5"/>
      <c r="I23" s="187">
        <f>VLOOKUP(I13,DADOS_GERAIS!C52:D61,2,0)</f>
        <v>20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99"/>
      <c r="B24" s="83"/>
      <c r="C24" s="255"/>
      <c r="D24" s="255"/>
      <c r="E24" s="255"/>
      <c r="F24" s="255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99"/>
      <c r="B25" s="83"/>
      <c r="C25" s="255"/>
      <c r="D25" s="255"/>
      <c r="E25" s="255"/>
      <c r="F25" s="255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99"/>
      <c r="B26" s="83"/>
      <c r="C26" s="255"/>
      <c r="D26" s="255"/>
      <c r="E26" s="255"/>
      <c r="F26" s="255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99"/>
      <c r="B27" s="83"/>
      <c r="C27" s="255"/>
      <c r="D27" s="255"/>
      <c r="E27" s="255"/>
      <c r="F27" s="255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99"/>
      <c r="B28" s="83"/>
      <c r="C28" s="255"/>
      <c r="D28" s="255"/>
      <c r="E28" s="255"/>
      <c r="F28" s="255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99"/>
      <c r="B29" s="83"/>
      <c r="C29" s="255"/>
      <c r="D29" s="255"/>
      <c r="E29" s="255"/>
      <c r="F29" s="255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99"/>
      <c r="B30" s="83"/>
      <c r="C30" s="255"/>
      <c r="D30" s="255"/>
      <c r="E30" s="255"/>
      <c r="F30" s="255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99"/>
      <c r="B31" s="83"/>
      <c r="C31" s="255"/>
      <c r="D31" s="255"/>
      <c r="E31" s="255"/>
      <c r="F31" s="255"/>
      <c r="G31" s="4"/>
      <c r="H31" s="5"/>
      <c r="I31" s="184" t="s">
        <v>24</v>
      </c>
      <c r="J31" s="185"/>
      <c r="K31" s="186"/>
      <c r="L31" s="101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99"/>
      <c r="B32" s="83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99"/>
      <c r="B33" s="83"/>
      <c r="C33" s="255"/>
      <c r="D33" s="255"/>
      <c r="E33" s="255"/>
      <c r="F33" s="255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99"/>
      <c r="B34" s="83"/>
      <c r="C34" s="255"/>
      <c r="D34" s="255"/>
      <c r="E34" s="255"/>
      <c r="F34" s="255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99"/>
      <c r="B35" s="83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99"/>
      <c r="B36" s="83"/>
      <c r="C36" s="255"/>
      <c r="D36" s="255"/>
      <c r="E36" s="255"/>
      <c r="F36" s="255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99"/>
      <c r="B37" s="83"/>
      <c r="C37" s="255"/>
      <c r="D37" s="255"/>
      <c r="E37" s="255"/>
      <c r="F37" s="255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99"/>
      <c r="B38" s="83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99"/>
      <c r="B39" s="83"/>
      <c r="C39" s="255"/>
      <c r="D39" s="255"/>
      <c r="E39" s="255"/>
      <c r="F39" s="255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99"/>
      <c r="B40" s="83"/>
      <c r="C40" s="255"/>
      <c r="D40" s="255"/>
      <c r="E40" s="255"/>
      <c r="F40" s="255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99"/>
      <c r="B41" s="83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99"/>
      <c r="B42" s="83"/>
      <c r="C42" s="255"/>
      <c r="D42" s="255"/>
      <c r="E42" s="255"/>
      <c r="F42" s="255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99"/>
      <c r="B43" s="83"/>
      <c r="C43" s="255"/>
      <c r="D43" s="255"/>
      <c r="E43" s="255"/>
      <c r="F43" s="255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99"/>
      <c r="B44" s="83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99"/>
      <c r="B45" s="83"/>
      <c r="C45" s="127"/>
      <c r="D45" s="127"/>
      <c r="E45" s="127"/>
      <c r="F45" s="127"/>
      <c r="G45" s="4"/>
      <c r="H45" s="5"/>
      <c r="I45" s="225">
        <f>IF(A3="","___/___/___",A3)</f>
        <v>44440</v>
      </c>
      <c r="J45" s="226"/>
      <c r="K45" s="227"/>
      <c r="L45" s="225">
        <f>IF(A3="","___/___/___",IF(I13='UC3-frente'!I13,'UC3-frente'!L45,MAX(A3:A45)))</f>
        <v>44462</v>
      </c>
      <c r="M45" s="227"/>
      <c r="N45" s="137">
        <f>IF(A3="","",IF(I13='UC1-frente'!I13,SUM(B3:B45)+'UC1-frente'!N45,SUM(B3:B45)))</f>
        <v>20</v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I13:P13" name="Intervalo2"/>
    <protectedRange sqref="A3:F45" name="Intervalo1"/>
  </protectedRanges>
  <mergeCells count="111">
    <mergeCell ref="M36:M37"/>
    <mergeCell ref="N36:P37"/>
    <mergeCell ref="M38:M39"/>
    <mergeCell ref="N38:P39"/>
    <mergeCell ref="M40:M41"/>
    <mergeCell ref="N40:P41"/>
    <mergeCell ref="N31:P31"/>
    <mergeCell ref="I11:P11"/>
    <mergeCell ref="I15:P16"/>
    <mergeCell ref="K17:P17"/>
    <mergeCell ref="K22:P22"/>
    <mergeCell ref="I25:P28"/>
    <mergeCell ref="I17:J17"/>
    <mergeCell ref="A1:A2"/>
    <mergeCell ref="B1:B2"/>
    <mergeCell ref="C1:F2"/>
    <mergeCell ref="C3:F3"/>
    <mergeCell ref="C4:F4"/>
    <mergeCell ref="C12:F12"/>
    <mergeCell ref="I12:P12"/>
    <mergeCell ref="I5:P5"/>
    <mergeCell ref="C6:F6"/>
    <mergeCell ref="I6:P6"/>
    <mergeCell ref="C7:F7"/>
    <mergeCell ref="C8:F8"/>
    <mergeCell ref="I8:J8"/>
    <mergeCell ref="K8:L8"/>
    <mergeCell ref="M8:N8"/>
    <mergeCell ref="C5:F5"/>
    <mergeCell ref="C9:F9"/>
    <mergeCell ref="C10:F10"/>
    <mergeCell ref="I10:P10"/>
    <mergeCell ref="C11:F11"/>
    <mergeCell ref="L1:P1"/>
    <mergeCell ref="L2:P2"/>
    <mergeCell ref="L3:P3"/>
    <mergeCell ref="C13:F13"/>
    <mergeCell ref="I13:P13"/>
    <mergeCell ref="C14:F14"/>
    <mergeCell ref="I14:P14"/>
    <mergeCell ref="C15:F15"/>
    <mergeCell ref="C16:F16"/>
    <mergeCell ref="C17:F17"/>
    <mergeCell ref="C18:F18"/>
    <mergeCell ref="I18:J18"/>
    <mergeCell ref="K18:L18"/>
    <mergeCell ref="M18:O18"/>
    <mergeCell ref="C19:F19"/>
    <mergeCell ref="I19:J19"/>
    <mergeCell ref="K19:L19"/>
    <mergeCell ref="C20:F20"/>
    <mergeCell ref="I20:J20"/>
    <mergeCell ref="K20:L20"/>
    <mergeCell ref="C21:F21"/>
    <mergeCell ref="I21:J21"/>
    <mergeCell ref="K21:P21"/>
    <mergeCell ref="M19:O19"/>
    <mergeCell ref="M20:O20"/>
    <mergeCell ref="C22:F22"/>
    <mergeCell ref="C23:F23"/>
    <mergeCell ref="I23:J23"/>
    <mergeCell ref="K23:P23"/>
    <mergeCell ref="C32:F32"/>
    <mergeCell ref="C24:F24"/>
    <mergeCell ref="C25:F25"/>
    <mergeCell ref="C26:F26"/>
    <mergeCell ref="C27:F27"/>
    <mergeCell ref="C28:F28"/>
    <mergeCell ref="C29:F29"/>
    <mergeCell ref="C30:F30"/>
    <mergeCell ref="C31:F31"/>
    <mergeCell ref="I24:P24"/>
    <mergeCell ref="I29:P30"/>
    <mergeCell ref="I31:K31"/>
    <mergeCell ref="C33:F33"/>
    <mergeCell ref="I33:K33"/>
    <mergeCell ref="C34:F34"/>
    <mergeCell ref="C35:F35"/>
    <mergeCell ref="I35:K35"/>
    <mergeCell ref="L32:L33"/>
    <mergeCell ref="M32:M33"/>
    <mergeCell ref="N32:P33"/>
    <mergeCell ref="L34:L35"/>
    <mergeCell ref="M34:M35"/>
    <mergeCell ref="N34:P35"/>
    <mergeCell ref="C36:F36"/>
    <mergeCell ref="L36:L37"/>
    <mergeCell ref="C37:F37"/>
    <mergeCell ref="I37:K37"/>
    <mergeCell ref="C38:F38"/>
    <mergeCell ref="L38:L39"/>
    <mergeCell ref="C39:F39"/>
    <mergeCell ref="I39:K39"/>
    <mergeCell ref="C40:F40"/>
    <mergeCell ref="L40:L41"/>
    <mergeCell ref="C41:F41"/>
    <mergeCell ref="I41:K41"/>
    <mergeCell ref="C42:F42"/>
    <mergeCell ref="L42:L43"/>
    <mergeCell ref="C43:F43"/>
    <mergeCell ref="I43:K43"/>
    <mergeCell ref="C44:F44"/>
    <mergeCell ref="I44:K44"/>
    <mergeCell ref="L44:M44"/>
    <mergeCell ref="N44:P44"/>
    <mergeCell ref="C45:F45"/>
    <mergeCell ref="I45:K45"/>
    <mergeCell ref="L45:M45"/>
    <mergeCell ref="N45:P45"/>
    <mergeCell ref="M42:M43"/>
    <mergeCell ref="N42:P43"/>
  </mergeCells>
  <conditionalFormatting sqref="I6:P6 O9:P9 I18 I11 I21 I23 K23 I15">
    <cfRule type="cellIs" dxfId="17" priority="2" operator="equal">
      <formula>0</formula>
    </cfRule>
  </conditionalFormatting>
  <conditionalFormatting sqref="I13">
    <cfRule type="cellIs" dxfId="16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7169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7169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B13" sqref="B13:C13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570312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260" t="s">
        <v>110</v>
      </c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2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>
        <v>1</v>
      </c>
      <c r="E2" s="9">
        <v>1</v>
      </c>
      <c r="F2" s="9">
        <v>1</v>
      </c>
      <c r="G2" s="9">
        <v>2</v>
      </c>
      <c r="H2" s="9">
        <v>2</v>
      </c>
      <c r="I2" s="9">
        <v>2</v>
      </c>
      <c r="J2" s="9">
        <v>8</v>
      </c>
      <c r="K2" s="9">
        <v>8</v>
      </c>
      <c r="L2" s="9">
        <v>8</v>
      </c>
      <c r="M2" s="9">
        <v>9</v>
      </c>
      <c r="N2" s="9">
        <v>9</v>
      </c>
      <c r="O2" s="9">
        <v>9</v>
      </c>
      <c r="P2" s="9">
        <v>16</v>
      </c>
      <c r="Q2" s="9">
        <v>16</v>
      </c>
      <c r="R2" s="9">
        <v>16</v>
      </c>
      <c r="S2" s="9">
        <v>22</v>
      </c>
      <c r="T2" s="9">
        <v>22</v>
      </c>
      <c r="U2" s="9">
        <v>22</v>
      </c>
      <c r="V2" s="9">
        <v>23</v>
      </c>
      <c r="W2" s="9">
        <v>23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 t="s">
        <v>103</v>
      </c>
      <c r="E3" s="63" t="s">
        <v>103</v>
      </c>
      <c r="F3" s="63" t="s">
        <v>103</v>
      </c>
      <c r="G3" s="63" t="s">
        <v>103</v>
      </c>
      <c r="H3" s="63" t="s">
        <v>103</v>
      </c>
      <c r="I3" s="63" t="s">
        <v>103</v>
      </c>
      <c r="J3" s="63" t="s">
        <v>103</v>
      </c>
      <c r="K3" s="63" t="s">
        <v>103</v>
      </c>
      <c r="L3" s="63" t="s">
        <v>103</v>
      </c>
      <c r="M3" s="63" t="s">
        <v>103</v>
      </c>
      <c r="N3" s="63" t="s">
        <v>103</v>
      </c>
      <c r="O3" s="63" t="s">
        <v>103</v>
      </c>
      <c r="P3" s="63" t="s">
        <v>103</v>
      </c>
      <c r="Q3" s="63" t="s">
        <v>103</v>
      </c>
      <c r="R3" s="63" t="s">
        <v>103</v>
      </c>
      <c r="S3" s="63" t="s">
        <v>103</v>
      </c>
      <c r="T3" s="63" t="s">
        <v>103</v>
      </c>
      <c r="U3" s="63" t="s">
        <v>103</v>
      </c>
      <c r="V3" s="63" t="s">
        <v>103</v>
      </c>
      <c r="W3" s="63" t="s">
        <v>103</v>
      </c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IF(B3="","",IF('UC2-frente'!$I$13='UC1-frente'!$I$13,COUNTIFS(D3:AQ3,"|")+'UC1-verso'!AR3,COUNTIFS(D3:AQ3,"|")))</f>
        <v>0</v>
      </c>
      <c r="AS3" s="83">
        <v>80</v>
      </c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 t="s">
        <v>103</v>
      </c>
      <c r="E4" s="63" t="s">
        <v>103</v>
      </c>
      <c r="F4" s="63" t="s">
        <v>103</v>
      </c>
      <c r="G4" s="63" t="s">
        <v>103</v>
      </c>
      <c r="H4" s="63" t="s">
        <v>103</v>
      </c>
      <c r="I4" s="63" t="s">
        <v>103</v>
      </c>
      <c r="J4" s="63" t="s">
        <v>103</v>
      </c>
      <c r="K4" s="63" t="s">
        <v>103</v>
      </c>
      <c r="L4" s="63" t="s">
        <v>103</v>
      </c>
      <c r="M4" s="63" t="s">
        <v>104</v>
      </c>
      <c r="N4" s="63" t="s">
        <v>104</v>
      </c>
      <c r="O4" s="63" t="s">
        <v>104</v>
      </c>
      <c r="P4" s="63" t="s">
        <v>103</v>
      </c>
      <c r="Q4" s="63" t="s">
        <v>103</v>
      </c>
      <c r="R4" s="63" t="s">
        <v>103</v>
      </c>
      <c r="S4" s="63" t="s">
        <v>103</v>
      </c>
      <c r="T4" s="63" t="s">
        <v>103</v>
      </c>
      <c r="U4" s="63" t="s">
        <v>103</v>
      </c>
      <c r="V4" s="63" t="s">
        <v>104</v>
      </c>
      <c r="W4" s="63" t="s">
        <v>104</v>
      </c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IF(B4="","",IF('UC2-frente'!$I$13='UC1-frente'!$I$13,COUNTIFS(D4:AQ4,"|")+'UC1-verso'!AR4,COUNTIFS(D4:AQ4,"|")))</f>
        <v>5</v>
      </c>
      <c r="AS4" s="83">
        <v>80</v>
      </c>
      <c r="AT4" s="37">
        <f t="shared" ref="AT4:AT16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 t="s">
        <v>103</v>
      </c>
      <c r="E5" s="63" t="s">
        <v>103</v>
      </c>
      <c r="F5" s="63" t="s">
        <v>103</v>
      </c>
      <c r="G5" s="63" t="s">
        <v>103</v>
      </c>
      <c r="H5" s="63" t="s">
        <v>103</v>
      </c>
      <c r="I5" s="63" t="s">
        <v>103</v>
      </c>
      <c r="J5" s="63" t="s">
        <v>103</v>
      </c>
      <c r="K5" s="63" t="s">
        <v>103</v>
      </c>
      <c r="L5" s="63" t="s">
        <v>103</v>
      </c>
      <c r="M5" s="63" t="s">
        <v>103</v>
      </c>
      <c r="N5" s="63" t="s">
        <v>103</v>
      </c>
      <c r="O5" s="63" t="s">
        <v>103</v>
      </c>
      <c r="P5" s="63" t="s">
        <v>103</v>
      </c>
      <c r="Q5" s="63" t="s">
        <v>103</v>
      </c>
      <c r="R5" s="63" t="s">
        <v>103</v>
      </c>
      <c r="S5" s="63" t="s">
        <v>103</v>
      </c>
      <c r="T5" s="63" t="s">
        <v>103</v>
      </c>
      <c r="U5" s="63" t="s">
        <v>103</v>
      </c>
      <c r="V5" s="63" t="s">
        <v>103</v>
      </c>
      <c r="W5" s="63" t="s">
        <v>103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IF(B5="","",IF('UC2-frente'!$I$13='UC1-frente'!$I$13,COUNTIFS(D5:AQ5,"|")+'UC1-verso'!AR5,COUNTIFS(D5:AQ5,"|")))</f>
        <v>0</v>
      </c>
      <c r="AS5" s="83">
        <v>80</v>
      </c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 t="s">
        <v>103</v>
      </c>
      <c r="E6" s="63" t="s">
        <v>103</v>
      </c>
      <c r="F6" s="63" t="s">
        <v>103</v>
      </c>
      <c r="G6" s="63" t="s">
        <v>103</v>
      </c>
      <c r="H6" s="63" t="s">
        <v>103</v>
      </c>
      <c r="I6" s="63" t="s">
        <v>103</v>
      </c>
      <c r="J6" s="63" t="s">
        <v>103</v>
      </c>
      <c r="K6" s="63" t="s">
        <v>103</v>
      </c>
      <c r="L6" s="63" t="s">
        <v>103</v>
      </c>
      <c r="M6" s="63" t="s">
        <v>103</v>
      </c>
      <c r="N6" s="63" t="s">
        <v>103</v>
      </c>
      <c r="O6" s="63" t="s">
        <v>103</v>
      </c>
      <c r="P6" s="63" t="s">
        <v>104</v>
      </c>
      <c r="Q6" s="63" t="s">
        <v>104</v>
      </c>
      <c r="R6" s="63" t="s">
        <v>104</v>
      </c>
      <c r="S6" s="63" t="s">
        <v>103</v>
      </c>
      <c r="T6" s="63" t="s">
        <v>103</v>
      </c>
      <c r="U6" s="63" t="s">
        <v>103</v>
      </c>
      <c r="V6" s="63" t="s">
        <v>104</v>
      </c>
      <c r="W6" s="63" t="s">
        <v>104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IF(B6="","",IF('UC2-frente'!$I$13='UC1-frente'!$I$13,COUNTIFS(D6:AQ6,"|")+'UC1-verso'!AR6,COUNTIFS(D6:AQ6,"|")))</f>
        <v>5</v>
      </c>
      <c r="AS6" s="83">
        <v>90</v>
      </c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 t="s">
        <v>103</v>
      </c>
      <c r="E7" s="63" t="s">
        <v>103</v>
      </c>
      <c r="F7" s="63" t="s">
        <v>103</v>
      </c>
      <c r="G7" s="63" t="s">
        <v>104</v>
      </c>
      <c r="H7" s="63" t="s">
        <v>104</v>
      </c>
      <c r="I7" s="63" t="s">
        <v>104</v>
      </c>
      <c r="J7" s="63" t="s">
        <v>104</v>
      </c>
      <c r="K7" s="63" t="s">
        <v>104</v>
      </c>
      <c r="L7" s="63" t="s">
        <v>104</v>
      </c>
      <c r="M7" s="63" t="s">
        <v>104</v>
      </c>
      <c r="N7" s="63" t="s">
        <v>104</v>
      </c>
      <c r="O7" s="63" t="s">
        <v>104</v>
      </c>
      <c r="P7" s="63" t="s">
        <v>104</v>
      </c>
      <c r="Q7" s="63" t="s">
        <v>104</v>
      </c>
      <c r="R7" s="63" t="s">
        <v>104</v>
      </c>
      <c r="S7" s="63" t="s">
        <v>103</v>
      </c>
      <c r="T7" s="63" t="s">
        <v>103</v>
      </c>
      <c r="U7" s="63" t="s">
        <v>103</v>
      </c>
      <c r="V7" s="63" t="s">
        <v>103</v>
      </c>
      <c r="W7" s="63" t="s">
        <v>103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IF(B7="","",IF('UC2-frente'!$I$13='UC1-frente'!$I$13,COUNTIFS(D7:AQ7,"|")+'UC1-verso'!AR7,COUNTIFS(D7:AQ7,"|")))</f>
        <v>12</v>
      </c>
      <c r="AS7" s="83">
        <v>50</v>
      </c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 t="s">
        <v>103</v>
      </c>
      <c r="E8" s="63" t="s">
        <v>103</v>
      </c>
      <c r="F8" s="63" t="s">
        <v>103</v>
      </c>
      <c r="G8" s="63" t="s">
        <v>103</v>
      </c>
      <c r="H8" s="63" t="s">
        <v>103</v>
      </c>
      <c r="I8" s="63" t="s">
        <v>103</v>
      </c>
      <c r="J8" s="63" t="s">
        <v>104</v>
      </c>
      <c r="K8" s="63" t="s">
        <v>104</v>
      </c>
      <c r="L8" s="63" t="s">
        <v>104</v>
      </c>
      <c r="M8" s="63" t="s">
        <v>104</v>
      </c>
      <c r="N8" s="63" t="s">
        <v>104</v>
      </c>
      <c r="O8" s="63" t="s">
        <v>104</v>
      </c>
      <c r="P8" s="63" t="s">
        <v>103</v>
      </c>
      <c r="Q8" s="63" t="s">
        <v>103</v>
      </c>
      <c r="R8" s="63" t="s">
        <v>103</v>
      </c>
      <c r="S8" s="63" t="s">
        <v>103</v>
      </c>
      <c r="T8" s="63" t="s">
        <v>103</v>
      </c>
      <c r="U8" s="63" t="s">
        <v>103</v>
      </c>
      <c r="V8" s="63" t="s">
        <v>103</v>
      </c>
      <c r="W8" s="63" t="s">
        <v>103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IF(B8="","",IF('UC2-frente'!$I$13='UC1-frente'!$I$13,COUNTIFS(D8:AQ8,"|")+'UC1-verso'!AR8,COUNTIFS(D8:AQ8,"|")))</f>
        <v>6</v>
      </c>
      <c r="AS8" s="83">
        <v>80</v>
      </c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 t="s">
        <v>103</v>
      </c>
      <c r="E9" s="63" t="s">
        <v>103</v>
      </c>
      <c r="F9" s="63" t="s">
        <v>103</v>
      </c>
      <c r="G9" s="63" t="s">
        <v>103</v>
      </c>
      <c r="H9" s="63" t="s">
        <v>103</v>
      </c>
      <c r="I9" s="63" t="s">
        <v>103</v>
      </c>
      <c r="J9" s="63" t="s">
        <v>103</v>
      </c>
      <c r="K9" s="63" t="s">
        <v>103</v>
      </c>
      <c r="L9" s="63" t="s">
        <v>103</v>
      </c>
      <c r="M9" s="63" t="s">
        <v>103</v>
      </c>
      <c r="N9" s="63" t="s">
        <v>103</v>
      </c>
      <c r="O9" s="63" t="s">
        <v>103</v>
      </c>
      <c r="P9" s="63" t="s">
        <v>103</v>
      </c>
      <c r="Q9" s="63" t="s">
        <v>103</v>
      </c>
      <c r="R9" s="63" t="s">
        <v>103</v>
      </c>
      <c r="S9" s="63" t="s">
        <v>103</v>
      </c>
      <c r="T9" s="63" t="s">
        <v>103</v>
      </c>
      <c r="U9" s="63" t="s">
        <v>103</v>
      </c>
      <c r="V9" s="63" t="s">
        <v>103</v>
      </c>
      <c r="W9" s="63" t="s">
        <v>103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IF(B9="","",IF('UC2-frente'!$I$13='UC1-frente'!$I$13,COUNTIFS(D9:AQ9,"|")+'UC1-verso'!AR9,COUNTIFS(D9:AQ9,"|")))</f>
        <v>0</v>
      </c>
      <c r="AS9" s="83">
        <v>80</v>
      </c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 t="s">
        <v>103</v>
      </c>
      <c r="E10" s="63" t="s">
        <v>103</v>
      </c>
      <c r="F10" s="63" t="s">
        <v>103</v>
      </c>
      <c r="G10" s="63" t="s">
        <v>103</v>
      </c>
      <c r="H10" s="63" t="s">
        <v>103</v>
      </c>
      <c r="I10" s="63" t="s">
        <v>103</v>
      </c>
      <c r="J10" s="63" t="s">
        <v>103</v>
      </c>
      <c r="K10" s="63" t="s">
        <v>103</v>
      </c>
      <c r="L10" s="63" t="s">
        <v>103</v>
      </c>
      <c r="M10" s="63" t="s">
        <v>104</v>
      </c>
      <c r="N10" s="63" t="s">
        <v>104</v>
      </c>
      <c r="O10" s="63" t="s">
        <v>104</v>
      </c>
      <c r="P10" s="63" t="s">
        <v>103</v>
      </c>
      <c r="Q10" s="63" t="s">
        <v>103</v>
      </c>
      <c r="R10" s="63" t="s">
        <v>103</v>
      </c>
      <c r="S10" s="63" t="s">
        <v>103</v>
      </c>
      <c r="T10" s="63" t="s">
        <v>103</v>
      </c>
      <c r="U10" s="63" t="s">
        <v>103</v>
      </c>
      <c r="V10" s="63" t="s">
        <v>103</v>
      </c>
      <c r="W10" s="63" t="s">
        <v>103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IF(B10="","",IF('UC2-frente'!$I$13='UC1-frente'!$I$13,COUNTIFS(D10:AQ10,"|")+'UC1-verso'!AR10,COUNTIFS(D10:AQ10,"|")))</f>
        <v>3</v>
      </c>
      <c r="AS10" s="83">
        <v>90</v>
      </c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 t="s">
        <v>104</v>
      </c>
      <c r="E11" s="63" t="s">
        <v>104</v>
      </c>
      <c r="F11" s="63" t="s">
        <v>104</v>
      </c>
      <c r="G11" s="63" t="s">
        <v>104</v>
      </c>
      <c r="H11" s="63" t="s">
        <v>104</v>
      </c>
      <c r="I11" s="63" t="s">
        <v>104</v>
      </c>
      <c r="J11" s="63" t="s">
        <v>104</v>
      </c>
      <c r="K11" s="63" t="s">
        <v>104</v>
      </c>
      <c r="L11" s="63" t="s">
        <v>104</v>
      </c>
      <c r="M11" s="63" t="s">
        <v>104</v>
      </c>
      <c r="N11" s="63" t="s">
        <v>104</v>
      </c>
      <c r="O11" s="63" t="s">
        <v>104</v>
      </c>
      <c r="P11" s="63" t="s">
        <v>104</v>
      </c>
      <c r="Q11" s="63" t="s">
        <v>104</v>
      </c>
      <c r="R11" s="63" t="s">
        <v>104</v>
      </c>
      <c r="S11" s="63" t="s">
        <v>104</v>
      </c>
      <c r="T11" s="63" t="s">
        <v>104</v>
      </c>
      <c r="U11" s="63" t="s">
        <v>104</v>
      </c>
      <c r="V11" s="63" t="s">
        <v>104</v>
      </c>
      <c r="W11" s="63" t="s">
        <v>104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IF(B11="","",IF('UC2-frente'!$I$13='UC1-frente'!$I$13,COUNTIFS(D11:AQ11,"|")+'UC1-verso'!AR11,COUNTIFS(D11:AQ11,"|")))</f>
        <v>20</v>
      </c>
      <c r="AS11" s="83">
        <v>0</v>
      </c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 t="s">
        <v>103</v>
      </c>
      <c r="E12" s="63" t="s">
        <v>103</v>
      </c>
      <c r="F12" s="63" t="s">
        <v>103</v>
      </c>
      <c r="G12" s="63" t="s">
        <v>103</v>
      </c>
      <c r="H12" s="63" t="s">
        <v>103</v>
      </c>
      <c r="I12" s="63" t="s">
        <v>103</v>
      </c>
      <c r="J12" s="63" t="s">
        <v>103</v>
      </c>
      <c r="K12" s="63" t="s">
        <v>103</v>
      </c>
      <c r="L12" s="63" t="s">
        <v>103</v>
      </c>
      <c r="M12" s="63" t="s">
        <v>103</v>
      </c>
      <c r="N12" s="63" t="s">
        <v>103</v>
      </c>
      <c r="O12" s="63" t="s">
        <v>103</v>
      </c>
      <c r="P12" s="63" t="s">
        <v>103</v>
      </c>
      <c r="Q12" s="63" t="s">
        <v>103</v>
      </c>
      <c r="R12" s="63" t="s">
        <v>103</v>
      </c>
      <c r="S12" s="63" t="s">
        <v>103</v>
      </c>
      <c r="T12" s="63" t="s">
        <v>103</v>
      </c>
      <c r="U12" s="63" t="s">
        <v>103</v>
      </c>
      <c r="V12" s="63" t="s">
        <v>103</v>
      </c>
      <c r="W12" s="63" t="s">
        <v>103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IF(B12="","",IF('UC2-frente'!$I$13='UC1-frente'!$I$13,COUNTIFS(D12:AQ12,"|")+'UC1-verso'!AR12,COUNTIFS(D12:AQ12,"|")))</f>
        <v>0</v>
      </c>
      <c r="AS12" s="83">
        <v>80</v>
      </c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 t="s">
        <v>104</v>
      </c>
      <c r="E13" s="63" t="s">
        <v>104</v>
      </c>
      <c r="F13" s="63" t="s">
        <v>104</v>
      </c>
      <c r="G13" s="63" t="s">
        <v>104</v>
      </c>
      <c r="H13" s="63" t="s">
        <v>104</v>
      </c>
      <c r="I13" s="63" t="s">
        <v>104</v>
      </c>
      <c r="J13" s="63" t="s">
        <v>104</v>
      </c>
      <c r="K13" s="63" t="s">
        <v>104</v>
      </c>
      <c r="L13" s="63" t="s">
        <v>104</v>
      </c>
      <c r="M13" s="63" t="s">
        <v>104</v>
      </c>
      <c r="N13" s="63" t="s">
        <v>104</v>
      </c>
      <c r="O13" s="63" t="s">
        <v>104</v>
      </c>
      <c r="P13" s="63" t="s">
        <v>104</v>
      </c>
      <c r="Q13" s="63" t="s">
        <v>104</v>
      </c>
      <c r="R13" s="63" t="s">
        <v>104</v>
      </c>
      <c r="S13" s="63" t="s">
        <v>104</v>
      </c>
      <c r="T13" s="63" t="s">
        <v>104</v>
      </c>
      <c r="U13" s="63" t="s">
        <v>104</v>
      </c>
      <c r="V13" s="63" t="s">
        <v>104</v>
      </c>
      <c r="W13" s="63" t="s">
        <v>104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IF(B13="","",IF('UC2-frente'!$I$13='UC1-frente'!$I$13,COUNTIFS(D13:AQ13,"|")+'UC1-verso'!AR13,COUNTIFS(D13:AQ13,"|")))</f>
        <v>20</v>
      </c>
      <c r="AS13" s="83">
        <v>0</v>
      </c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 t="s">
        <v>103</v>
      </c>
      <c r="E14" s="63" t="s">
        <v>103</v>
      </c>
      <c r="F14" s="63" t="s">
        <v>103</v>
      </c>
      <c r="G14" s="63" t="s">
        <v>103</v>
      </c>
      <c r="H14" s="63" t="s">
        <v>103</v>
      </c>
      <c r="I14" s="63" t="s">
        <v>103</v>
      </c>
      <c r="J14" s="63" t="s">
        <v>103</v>
      </c>
      <c r="K14" s="63" t="s">
        <v>103</v>
      </c>
      <c r="L14" s="63" t="s">
        <v>103</v>
      </c>
      <c r="M14" s="63" t="s">
        <v>103</v>
      </c>
      <c r="N14" s="63" t="s">
        <v>103</v>
      </c>
      <c r="O14" s="63" t="s">
        <v>103</v>
      </c>
      <c r="P14" s="63" t="s">
        <v>104</v>
      </c>
      <c r="Q14" s="63" t="s">
        <v>104</v>
      </c>
      <c r="R14" s="63" t="s">
        <v>104</v>
      </c>
      <c r="S14" s="63" t="s">
        <v>103</v>
      </c>
      <c r="T14" s="63" t="s">
        <v>103</v>
      </c>
      <c r="U14" s="63" t="s">
        <v>103</v>
      </c>
      <c r="V14" s="63" t="s">
        <v>103</v>
      </c>
      <c r="W14" s="63" t="s">
        <v>103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IF(B14="","",IF('UC2-frente'!$I$13='UC1-frente'!$I$13,COUNTIFS(D14:AQ14,"|")+'UC1-verso'!AR14,COUNTIFS(D14:AQ14,"|")))</f>
        <v>3</v>
      </c>
      <c r="AS14" s="83">
        <v>90</v>
      </c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 t="s">
        <v>103</v>
      </c>
      <c r="E15" s="63" t="s">
        <v>103</v>
      </c>
      <c r="F15" s="63" t="s">
        <v>103</v>
      </c>
      <c r="G15" s="63" t="s">
        <v>103</v>
      </c>
      <c r="H15" s="63" t="s">
        <v>103</v>
      </c>
      <c r="I15" s="63" t="s">
        <v>103</v>
      </c>
      <c r="J15" s="63" t="s">
        <v>103</v>
      </c>
      <c r="K15" s="63" t="s">
        <v>103</v>
      </c>
      <c r="L15" s="63" t="s">
        <v>103</v>
      </c>
      <c r="M15" s="63" t="s">
        <v>103</v>
      </c>
      <c r="N15" s="63" t="s">
        <v>103</v>
      </c>
      <c r="O15" s="63" t="s">
        <v>103</v>
      </c>
      <c r="P15" s="63" t="s">
        <v>103</v>
      </c>
      <c r="Q15" s="63" t="s">
        <v>103</v>
      </c>
      <c r="R15" s="63" t="s">
        <v>103</v>
      </c>
      <c r="S15" s="63" t="s">
        <v>103</v>
      </c>
      <c r="T15" s="63" t="s">
        <v>103</v>
      </c>
      <c r="U15" s="63" t="s">
        <v>103</v>
      </c>
      <c r="V15" s="63" t="s">
        <v>103</v>
      </c>
      <c r="W15" s="63" t="s">
        <v>103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IF(B15="","",IF('UC2-frente'!$I$13='UC1-frente'!$I$13,COUNTIFS(D15:AQ15,"|")+'UC1-verso'!AR15,COUNTIFS(D15:AQ15,"|")))</f>
        <v>0</v>
      </c>
      <c r="AS15" s="83">
        <v>90</v>
      </c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 t="s">
        <v>103</v>
      </c>
      <c r="E16" s="63" t="s">
        <v>103</v>
      </c>
      <c r="F16" s="63" t="s">
        <v>103</v>
      </c>
      <c r="G16" s="63" t="s">
        <v>103</v>
      </c>
      <c r="H16" s="63" t="s">
        <v>103</v>
      </c>
      <c r="I16" s="63" t="s">
        <v>103</v>
      </c>
      <c r="J16" s="63" t="s">
        <v>103</v>
      </c>
      <c r="K16" s="63" t="s">
        <v>103</v>
      </c>
      <c r="L16" s="63" t="s">
        <v>103</v>
      </c>
      <c r="M16" s="63" t="s">
        <v>103</v>
      </c>
      <c r="N16" s="63" t="s">
        <v>103</v>
      </c>
      <c r="O16" s="63" t="s">
        <v>103</v>
      </c>
      <c r="P16" s="63" t="s">
        <v>103</v>
      </c>
      <c r="Q16" s="63" t="s">
        <v>103</v>
      </c>
      <c r="R16" s="63" t="s">
        <v>103</v>
      </c>
      <c r="S16" s="63" t="s">
        <v>103</v>
      </c>
      <c r="T16" s="63" t="s">
        <v>103</v>
      </c>
      <c r="U16" s="63" t="s">
        <v>103</v>
      </c>
      <c r="V16" s="63" t="s">
        <v>103</v>
      </c>
      <c r="W16" s="63" t="s">
        <v>103</v>
      </c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IF(B16="","",IF('UC2-frente'!$I$13='UC1-frente'!$I$13,COUNTIFS(D16:AQ16,"|")+'UC1-verso'!AR16,COUNTIFS(D16:AQ16,"|")))</f>
        <v>0</v>
      </c>
      <c r="AS16" s="83">
        <v>90</v>
      </c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IF(B17="","",IF('UC2-frente'!$I$13='UC1-frente'!$I$13,COUNTIFS(D17:AQ17,"|")+'UC1-verso'!AR17,COUNTIFS(D17:AQ17,"|")))</f>
        <v/>
      </c>
      <c r="AS17" s="14"/>
      <c r="AT17" s="37"/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IF(B18="","",IF('UC2-frente'!$I$13='UC1-frente'!$I$13,COUNTIFS(D18:AQ18,"|")+'UC1-verso'!AR18,COUNTIFS(D18:AQ18,"|")))</f>
        <v/>
      </c>
      <c r="AS18" s="14"/>
      <c r="AT18" s="37"/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IF(B19="","",IF('UC2-frente'!$I$13='UC1-frente'!$I$13,COUNTIFS(D19:AQ19,"|")+'UC1-verso'!AR19,COUNTIFS(D19:AQ19,"|")))</f>
        <v/>
      </c>
      <c r="AS19" s="14"/>
      <c r="AT19" s="37"/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IF(B20="","",IF('UC2-frente'!$I$13='UC1-frente'!$I$13,COUNTIFS(D20:AQ20,"|")+'UC1-verso'!AR20,COUNTIFS(D20:AQ20,"|")))</f>
        <v/>
      </c>
      <c r="AS20" s="14"/>
      <c r="AT20" s="37"/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IF(B21="","",IF('UC2-frente'!$I$13='UC1-frente'!$I$13,COUNTIFS(D21:AQ21,"|")+'UC1-verso'!AR21,COUNTIFS(D21:AQ21,"|")))</f>
        <v/>
      </c>
      <c r="AS21" s="14"/>
      <c r="AT21" s="37"/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IF(B22="","",IF('UC2-frente'!$I$13='UC1-frente'!$I$13,COUNTIFS(D22:AQ22,"|")+'UC1-verso'!AR22,COUNTIFS(D22:AQ22,"|")))</f>
        <v/>
      </c>
      <c r="AS22" s="14"/>
      <c r="AT22" s="37"/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IF(B23="","",IF('UC2-frente'!$I$13='UC1-frente'!$I$13,COUNTIFS(D23:AQ23,"|")+'UC1-verso'!AR23,COUNTIFS(D23:AQ23,"|")))</f>
        <v/>
      </c>
      <c r="AS23" s="14"/>
      <c r="AT23" s="37"/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2"/>
      <c r="AJ24" s="52"/>
      <c r="AK24" s="52"/>
      <c r="AL24" s="52"/>
      <c r="AM24" s="53"/>
      <c r="AN24" s="73"/>
      <c r="AO24" s="69"/>
      <c r="AP24" s="69"/>
      <c r="AQ24" s="69"/>
      <c r="AR24" s="37" t="str">
        <f>IF(B24="","",IF('UC2-frente'!$I$13='UC1-frente'!$I$13,COUNTIFS(D24:AQ24,"|")+'UC1-verso'!AR24,COUNTIFS(D24:AQ24,"|")))</f>
        <v/>
      </c>
      <c r="AS24" s="15"/>
      <c r="AT24" s="37"/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73"/>
      <c r="AO25" s="69"/>
      <c r="AP25" s="69"/>
      <c r="AQ25" s="69"/>
      <c r="AR25" s="37" t="str">
        <f>IF(B25="","",IF('UC2-frente'!$I$13='UC1-frente'!$I$13,COUNTIFS(D25:AQ25,"|")+'UC1-verso'!AR25,COUNTIFS(D25:AQ25,"|")))</f>
        <v/>
      </c>
      <c r="AS25" s="15"/>
      <c r="AT25" s="37"/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2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IF(B26="","",IF('UC2-frente'!$I$13='UC1-frente'!$I$13,COUNTIFS(D26:AQ26,"|")+'UC1-verso'!AR26,COUNTIFS(D26:AQ26,"|")))</f>
        <v/>
      </c>
      <c r="AS26" s="16"/>
      <c r="AT26" s="38"/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3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73"/>
      <c r="AO27" s="73"/>
      <c r="AP27" s="69"/>
      <c r="AQ27" s="73"/>
      <c r="AR27" s="37" t="str">
        <f>IF(B27="","",IF('UC2-frente'!$I$13='UC1-frente'!$I$13,COUNTIFS(D27:AQ27,"|")+'UC1-verso'!AR27,COUNTIFS(D27:AQ27,"|")))</f>
        <v/>
      </c>
      <c r="AS27" s="15"/>
      <c r="AT27" s="37"/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IF(B28="","",IF('UC2-frente'!$I$13='UC1-frente'!$I$13,COUNTIFS(D28:AQ28,"|")+'UC1-verso'!AR28,COUNTIFS(D28:AQ28,"|")))</f>
        <v/>
      </c>
      <c r="AS28" s="17"/>
      <c r="AT28" s="39"/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2"/>
      <c r="AJ29" s="52"/>
      <c r="AK29" s="52"/>
      <c r="AL29" s="52"/>
      <c r="AM29" s="53"/>
      <c r="AN29" s="73"/>
      <c r="AO29" s="69"/>
      <c r="AP29" s="69"/>
      <c r="AQ29" s="69"/>
      <c r="AR29" s="37" t="str">
        <f>IF(B29="","",IF('UC2-frente'!$I$13='UC1-frente'!$I$13,COUNTIFS(D29:AQ29,"|")+'UC1-verso'!AR29,COUNTIFS(D29:AQ29,"|")))</f>
        <v/>
      </c>
      <c r="AS29" s="15"/>
      <c r="AT29" s="37"/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2"/>
      <c r="AJ30" s="55"/>
      <c r="AK30" s="55"/>
      <c r="AL30" s="55"/>
      <c r="AM30" s="56"/>
      <c r="AN30" s="73"/>
      <c r="AO30" s="69"/>
      <c r="AP30" s="69"/>
      <c r="AQ30" s="69"/>
      <c r="AR30" s="37" t="str">
        <f>IF(B30="","",IF('UC2-frente'!$I$13='UC1-frente'!$I$13,COUNTIFS(D30:AQ30,"|")+'UC1-verso'!AR30,COUNTIFS(D30:AQ30,"|")))</f>
        <v/>
      </c>
      <c r="AS30" s="15"/>
      <c r="AT30" s="37"/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2"/>
      <c r="AJ31" s="52"/>
      <c r="AK31" s="52"/>
      <c r="AL31" s="52"/>
      <c r="AM31" s="53"/>
      <c r="AN31" s="73"/>
      <c r="AO31" s="69"/>
      <c r="AP31" s="69"/>
      <c r="AQ31" s="69"/>
      <c r="AR31" s="37" t="str">
        <f>IF(B31="","",IF('UC2-frente'!$I$13='UC1-frente'!$I$13,COUNTIFS(D31:AQ31,"|")+'UC1-verso'!AR31,COUNTIFS(D31:AQ31,"|")))</f>
        <v/>
      </c>
      <c r="AS31" s="15"/>
      <c r="AT31" s="37"/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73"/>
      <c r="AO32" s="69"/>
      <c r="AP32" s="69"/>
      <c r="AQ32" s="69"/>
      <c r="AR32" s="37" t="str">
        <f>IF(B32="","",IF('UC2-frente'!$I$13='UC1-frente'!$I$13,COUNTIFS(D32:AQ32,"|")+'UC1-verso'!AR32,COUNTIFS(D32:AQ32,"|")))</f>
        <v/>
      </c>
      <c r="AS32" s="15"/>
      <c r="AT32" s="37"/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2"/>
      <c r="AJ33" s="52"/>
      <c r="AK33" s="52"/>
      <c r="AL33" s="52"/>
      <c r="AM33" s="53"/>
      <c r="AN33" s="73"/>
      <c r="AO33" s="69"/>
      <c r="AP33" s="69"/>
      <c r="AQ33" s="69"/>
      <c r="AR33" s="37" t="str">
        <f>IF(B33="","",IF('UC2-frente'!$I$13='UC1-frente'!$I$13,COUNTIFS(D33:AQ33,"|")+'UC1-verso'!AR33,COUNTIFS(D33:AQ33,"|")))</f>
        <v/>
      </c>
      <c r="AS33" s="15"/>
      <c r="AT33" s="37"/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73"/>
      <c r="AO34" s="69"/>
      <c r="AP34" s="69"/>
      <c r="AQ34" s="69"/>
      <c r="AR34" s="37" t="str">
        <f>IF(B34="","",IF('UC2-frente'!$I$13='UC1-frente'!$I$13,COUNTIFS(D34:AQ34,"|")+'UC1-verso'!AR34,COUNTIFS(D34:AQ34,"|")))</f>
        <v/>
      </c>
      <c r="AS34" s="15"/>
      <c r="AT34" s="37"/>
      <c r="AU34" s="66"/>
    </row>
    <row r="36" spans="1:47" x14ac:dyDescent="0.2">
      <c r="A36" s="217" t="s">
        <v>8</v>
      </c>
      <c r="B36" s="217"/>
      <c r="C36" s="104"/>
      <c r="D36" s="10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04"/>
      <c r="B38" s="104"/>
      <c r="C38" s="104"/>
      <c r="D38" s="10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04"/>
      <c r="B40" s="104"/>
      <c r="C40" s="104"/>
      <c r="D40" s="10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AS3:AS34" name="Intervalo2"/>
    <protectedRange sqref="D1:AQ34" name="Intervalo1"/>
  </protectedRanges>
  <mergeCells count="51">
    <mergeCell ref="A1:A2"/>
    <mergeCell ref="B1:B2"/>
    <mergeCell ref="AR1:AR2"/>
    <mergeCell ref="AS1:AS2"/>
    <mergeCell ref="AU1:AU2"/>
    <mergeCell ref="D1:W1"/>
    <mergeCell ref="B3:C3"/>
    <mergeCell ref="B4:C4"/>
    <mergeCell ref="B5:C5"/>
    <mergeCell ref="B6:C6"/>
    <mergeCell ref="B25:C25"/>
    <mergeCell ref="B19:C19"/>
    <mergeCell ref="B20:C20"/>
    <mergeCell ref="B21:C21"/>
    <mergeCell ref="B22:C22"/>
    <mergeCell ref="B23:C23"/>
    <mergeCell ref="B26:C26"/>
    <mergeCell ref="B27:C27"/>
    <mergeCell ref="B12:C12"/>
    <mergeCell ref="AT1:AT2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28:C28"/>
    <mergeCell ref="B29:C29"/>
    <mergeCell ref="A41:C41"/>
    <mergeCell ref="A43:P43"/>
    <mergeCell ref="A39:D39"/>
    <mergeCell ref="M39:X39"/>
    <mergeCell ref="AA39:AL39"/>
    <mergeCell ref="B30:C30"/>
    <mergeCell ref="A44:AE45"/>
    <mergeCell ref="AP39:AU39"/>
    <mergeCell ref="M40:X40"/>
    <mergeCell ref="AA40:AL40"/>
    <mergeCell ref="AP40:AU40"/>
    <mergeCell ref="B31:C31"/>
    <mergeCell ref="B32:C32"/>
    <mergeCell ref="B33:C33"/>
    <mergeCell ref="B34:C34"/>
    <mergeCell ref="A36:B36"/>
    <mergeCell ref="A37:D3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zoomScaleNormal="100" workbookViewId="0">
      <selection activeCell="I13" sqref="I13:P13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116">
        <v>44462</v>
      </c>
      <c r="B3" s="83">
        <v>1</v>
      </c>
      <c r="C3" s="231" t="s">
        <v>111</v>
      </c>
      <c r="D3" s="232"/>
      <c r="E3" s="232"/>
      <c r="F3" s="233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116"/>
      <c r="B4" s="83"/>
      <c r="C4" s="245" t="s">
        <v>112</v>
      </c>
      <c r="D4" s="245"/>
      <c r="E4" s="245"/>
      <c r="F4" s="245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116">
        <v>44468</v>
      </c>
      <c r="B5" s="83">
        <v>3</v>
      </c>
      <c r="C5" s="231" t="s">
        <v>111</v>
      </c>
      <c r="D5" s="232"/>
      <c r="E5" s="232"/>
      <c r="F5" s="233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116"/>
      <c r="B6" s="83"/>
      <c r="C6" s="245" t="s">
        <v>112</v>
      </c>
      <c r="D6" s="245"/>
      <c r="E6" s="245"/>
      <c r="F6" s="245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116">
        <v>44469</v>
      </c>
      <c r="B7" s="83">
        <v>3</v>
      </c>
      <c r="C7" s="231" t="s">
        <v>111</v>
      </c>
      <c r="D7" s="232"/>
      <c r="E7" s="232"/>
      <c r="F7" s="233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116"/>
      <c r="B8" s="83"/>
      <c r="C8" s="245" t="s">
        <v>112</v>
      </c>
      <c r="D8" s="245"/>
      <c r="E8" s="245"/>
      <c r="F8" s="245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116">
        <v>44475</v>
      </c>
      <c r="B9" s="83">
        <v>3</v>
      </c>
      <c r="C9" s="228" t="s">
        <v>113</v>
      </c>
      <c r="D9" s="228"/>
      <c r="E9" s="228"/>
      <c r="F9" s="228"/>
      <c r="G9" s="4"/>
      <c r="H9" s="5"/>
      <c r="I9" s="100"/>
      <c r="J9" s="27"/>
      <c r="K9" s="28" t="s">
        <v>42</v>
      </c>
      <c r="L9" s="27"/>
      <c r="M9" s="28" t="s">
        <v>42</v>
      </c>
      <c r="N9" s="27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116"/>
      <c r="B10" s="83"/>
      <c r="C10" s="228" t="s">
        <v>114</v>
      </c>
      <c r="D10" s="228"/>
      <c r="E10" s="228"/>
      <c r="F10" s="228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116">
        <v>44476</v>
      </c>
      <c r="B11" s="83">
        <v>3</v>
      </c>
      <c r="C11" s="228" t="s">
        <v>113</v>
      </c>
      <c r="D11" s="228"/>
      <c r="E11" s="228"/>
      <c r="F11" s="228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116"/>
      <c r="B12" s="83"/>
      <c r="C12" s="228" t="s">
        <v>114</v>
      </c>
      <c r="D12" s="228"/>
      <c r="E12" s="228"/>
      <c r="F12" s="228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116">
        <v>44482</v>
      </c>
      <c r="B13" s="83">
        <v>3</v>
      </c>
      <c r="C13" s="245" t="s">
        <v>115</v>
      </c>
      <c r="D13" s="245"/>
      <c r="E13" s="245"/>
      <c r="F13" s="245"/>
      <c r="G13" s="4"/>
      <c r="H13" s="5"/>
      <c r="I13" s="178" t="s">
        <v>73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116"/>
      <c r="B14" s="83"/>
      <c r="C14" s="234" t="s">
        <v>116</v>
      </c>
      <c r="D14" s="235"/>
      <c r="E14" s="235"/>
      <c r="F14" s="236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116">
        <v>44483</v>
      </c>
      <c r="B15" s="83">
        <v>3</v>
      </c>
      <c r="C15" s="245" t="s">
        <v>115</v>
      </c>
      <c r="D15" s="245"/>
      <c r="E15" s="245"/>
      <c r="F15" s="245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116"/>
      <c r="B16" s="83"/>
      <c r="C16" s="234" t="s">
        <v>116</v>
      </c>
      <c r="D16" s="235"/>
      <c r="E16" s="235"/>
      <c r="F16" s="236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116">
        <v>44489</v>
      </c>
      <c r="B17" s="83">
        <v>1</v>
      </c>
      <c r="C17" s="245" t="s">
        <v>115</v>
      </c>
      <c r="D17" s="245"/>
      <c r="E17" s="245"/>
      <c r="F17" s="245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116"/>
      <c r="B18" s="83"/>
      <c r="C18" s="234" t="s">
        <v>116</v>
      </c>
      <c r="D18" s="235"/>
      <c r="E18" s="235"/>
      <c r="F18" s="236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126"/>
      <c r="D19" s="126"/>
      <c r="E19" s="126"/>
      <c r="F19" s="126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126"/>
      <c r="D20" s="126"/>
      <c r="E20" s="126"/>
      <c r="F20" s="126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>
        <f>VLOOKUP(I13,DADOS_GERAIS!C52:D61,2,0)</f>
        <v>20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01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>
        <f>IF(A3="","___/___/___",A3)</f>
        <v>44462</v>
      </c>
      <c r="J45" s="226"/>
      <c r="K45" s="227"/>
      <c r="L45" s="225">
        <f>IF(A3="","___/___/___",IF(I14='UC2-frente'!I13,'UC4-frente'!L45,MAX(A3:A45)))</f>
        <v>44489</v>
      </c>
      <c r="M45" s="227"/>
      <c r="N45" s="137">
        <f>IF(A3="","",IF(I13='UC2-frente'!I13,SUM(B3:B45)+'UC2-frente'!N45,SUM(B3:B45)))</f>
        <v>20</v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I13" name="Intervalo2"/>
    <protectedRange sqref="A3:F45" name="Intervalo1"/>
  </protectedRanges>
  <mergeCells count="111">
    <mergeCell ref="M40:M41"/>
    <mergeCell ref="M42:M43"/>
    <mergeCell ref="L1:P1"/>
    <mergeCell ref="L2:P2"/>
    <mergeCell ref="L3:P3"/>
    <mergeCell ref="A1:A2"/>
    <mergeCell ref="B1:B2"/>
    <mergeCell ref="C1:F2"/>
    <mergeCell ref="C3:F3"/>
    <mergeCell ref="C4:F4"/>
    <mergeCell ref="C12:F12"/>
    <mergeCell ref="I12:P12"/>
    <mergeCell ref="I5:P5"/>
    <mergeCell ref="C6:F6"/>
    <mergeCell ref="I6:P6"/>
    <mergeCell ref="C7:F7"/>
    <mergeCell ref="C8:F8"/>
    <mergeCell ref="I8:J8"/>
    <mergeCell ref="K8:L8"/>
    <mergeCell ref="M8:N8"/>
    <mergeCell ref="C5:F5"/>
    <mergeCell ref="C9:F9"/>
    <mergeCell ref="C10:F10"/>
    <mergeCell ref="I10:P10"/>
    <mergeCell ref="C11:F11"/>
    <mergeCell ref="I11:P11"/>
    <mergeCell ref="C13:F13"/>
    <mergeCell ref="I13:P13"/>
    <mergeCell ref="C14:F14"/>
    <mergeCell ref="I14:P14"/>
    <mergeCell ref="C15:F15"/>
    <mergeCell ref="C16:F16"/>
    <mergeCell ref="C17:F17"/>
    <mergeCell ref="C18:F18"/>
    <mergeCell ref="I18:J18"/>
    <mergeCell ref="I15:P16"/>
    <mergeCell ref="K17:P17"/>
    <mergeCell ref="K18:L18"/>
    <mergeCell ref="M18:O18"/>
    <mergeCell ref="I17:J17"/>
    <mergeCell ref="C19:F19"/>
    <mergeCell ref="I19:J19"/>
    <mergeCell ref="K19:L19"/>
    <mergeCell ref="C20:F20"/>
    <mergeCell ref="I20:J20"/>
    <mergeCell ref="K20:L20"/>
    <mergeCell ref="C21:F21"/>
    <mergeCell ref="I21:J21"/>
    <mergeCell ref="K21:P21"/>
    <mergeCell ref="M19:O19"/>
    <mergeCell ref="M20:O20"/>
    <mergeCell ref="C22:F22"/>
    <mergeCell ref="K22:P22"/>
    <mergeCell ref="C23:F23"/>
    <mergeCell ref="I23:J23"/>
    <mergeCell ref="K23:P23"/>
    <mergeCell ref="C32:F32"/>
    <mergeCell ref="C24:F24"/>
    <mergeCell ref="C25:F25"/>
    <mergeCell ref="C26:F26"/>
    <mergeCell ref="C27:F27"/>
    <mergeCell ref="C28:F28"/>
    <mergeCell ref="C29:F29"/>
    <mergeCell ref="C30:F30"/>
    <mergeCell ref="C31:F31"/>
    <mergeCell ref="I24:P24"/>
    <mergeCell ref="I29:P30"/>
    <mergeCell ref="I31:K31"/>
    <mergeCell ref="N31:P31"/>
    <mergeCell ref="I25:P28"/>
    <mergeCell ref="L32:L33"/>
    <mergeCell ref="M32:M33"/>
    <mergeCell ref="C33:F33"/>
    <mergeCell ref="I33:K33"/>
    <mergeCell ref="C34:F34"/>
    <mergeCell ref="C35:F35"/>
    <mergeCell ref="I35:K35"/>
    <mergeCell ref="N32:P33"/>
    <mergeCell ref="N34:P35"/>
    <mergeCell ref="C36:F36"/>
    <mergeCell ref="L36:L37"/>
    <mergeCell ref="C37:F37"/>
    <mergeCell ref="I37:K37"/>
    <mergeCell ref="N36:P37"/>
    <mergeCell ref="L34:L35"/>
    <mergeCell ref="M34:M35"/>
    <mergeCell ref="M36:M37"/>
    <mergeCell ref="C44:F44"/>
    <mergeCell ref="I44:K44"/>
    <mergeCell ref="L44:M44"/>
    <mergeCell ref="N44:P44"/>
    <mergeCell ref="C45:F45"/>
    <mergeCell ref="I45:K45"/>
    <mergeCell ref="L45:M45"/>
    <mergeCell ref="N45:P45"/>
    <mergeCell ref="C38:F38"/>
    <mergeCell ref="L38:L39"/>
    <mergeCell ref="C39:F39"/>
    <mergeCell ref="I39:K39"/>
    <mergeCell ref="C40:F40"/>
    <mergeCell ref="L40:L41"/>
    <mergeCell ref="C41:F41"/>
    <mergeCell ref="I41:K41"/>
    <mergeCell ref="C42:F42"/>
    <mergeCell ref="L42:L43"/>
    <mergeCell ref="C43:F43"/>
    <mergeCell ref="I43:K43"/>
    <mergeCell ref="N38:P39"/>
    <mergeCell ref="N40:P41"/>
    <mergeCell ref="N42:P43"/>
    <mergeCell ref="M38:M39"/>
  </mergeCells>
  <conditionalFormatting sqref="I6:P6 O9:P9 I18 I11 I21 I23 K23 I15">
    <cfRule type="cellIs" dxfId="15" priority="2" operator="equal">
      <formula>0</formula>
    </cfRule>
  </conditionalFormatting>
  <conditionalFormatting sqref="I13">
    <cfRule type="cellIs" dxfId="14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9217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9217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AR4" sqref="AR4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570312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260" t="s">
        <v>110</v>
      </c>
      <c r="E1" s="261"/>
      <c r="F1" s="261"/>
      <c r="G1" s="261"/>
      <c r="H1" s="261"/>
      <c r="I1" s="261"/>
      <c r="J1" s="262"/>
      <c r="K1" s="260" t="s">
        <v>117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1"/>
      <c r="W1" s="262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>
        <v>23</v>
      </c>
      <c r="E2" s="9">
        <v>29</v>
      </c>
      <c r="F2" s="9">
        <v>29</v>
      </c>
      <c r="G2" s="9">
        <v>29</v>
      </c>
      <c r="H2" s="9">
        <v>30</v>
      </c>
      <c r="I2" s="9">
        <v>30</v>
      </c>
      <c r="J2" s="9">
        <v>30</v>
      </c>
      <c r="K2" s="9">
        <v>6</v>
      </c>
      <c r="L2" s="9">
        <v>6</v>
      </c>
      <c r="M2" s="9">
        <v>6</v>
      </c>
      <c r="N2" s="9">
        <v>7</v>
      </c>
      <c r="O2" s="9">
        <v>7</v>
      </c>
      <c r="P2" s="9">
        <v>7</v>
      </c>
      <c r="Q2" s="9">
        <v>13</v>
      </c>
      <c r="R2" s="9">
        <v>13</v>
      </c>
      <c r="S2" s="9">
        <v>13</v>
      </c>
      <c r="T2" s="9">
        <v>14</v>
      </c>
      <c r="U2" s="9">
        <v>14</v>
      </c>
      <c r="V2" s="9">
        <v>14</v>
      </c>
      <c r="W2" s="9">
        <v>20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 t="s">
        <v>103</v>
      </c>
      <c r="E3" s="63" t="s">
        <v>104</v>
      </c>
      <c r="F3" s="63" t="s">
        <v>104</v>
      </c>
      <c r="G3" s="63" t="s">
        <v>104</v>
      </c>
      <c r="H3" s="63" t="s">
        <v>103</v>
      </c>
      <c r="I3" s="63" t="s">
        <v>103</v>
      </c>
      <c r="J3" s="63" t="s">
        <v>103</v>
      </c>
      <c r="K3" s="63" t="s">
        <v>103</v>
      </c>
      <c r="L3" s="63" t="s">
        <v>103</v>
      </c>
      <c r="M3" s="63" t="s">
        <v>103</v>
      </c>
      <c r="N3" s="63" t="s">
        <v>103</v>
      </c>
      <c r="O3" s="63" t="s">
        <v>103</v>
      </c>
      <c r="P3" s="63" t="s">
        <v>103</v>
      </c>
      <c r="Q3" s="63" t="s">
        <v>103</v>
      </c>
      <c r="R3" s="63" t="s">
        <v>103</v>
      </c>
      <c r="S3" s="63" t="s">
        <v>103</v>
      </c>
      <c r="T3" s="63" t="s">
        <v>103</v>
      </c>
      <c r="U3" s="63" t="s">
        <v>103</v>
      </c>
      <c r="V3" s="63" t="s">
        <v>103</v>
      </c>
      <c r="W3" s="63" t="s">
        <v>104</v>
      </c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IF(B3="","",IF('UC3-frente'!$I$13='UC2-frente'!$I$13,COUNTIFS(D3:AQ3,"|")+'UC2-verso'!AR3,COUNTIFS(D3:AQ3,"|")))</f>
        <v>4</v>
      </c>
      <c r="AS3" s="14">
        <v>90</v>
      </c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 t="s">
        <v>104</v>
      </c>
      <c r="E4" s="63" t="s">
        <v>103</v>
      </c>
      <c r="F4" s="63" t="s">
        <v>103</v>
      </c>
      <c r="G4" s="63" t="s">
        <v>103</v>
      </c>
      <c r="H4" s="63" t="s">
        <v>103</v>
      </c>
      <c r="I4" s="63" t="s">
        <v>103</v>
      </c>
      <c r="J4" s="63" t="s">
        <v>103</v>
      </c>
      <c r="K4" s="63" t="s">
        <v>104</v>
      </c>
      <c r="L4" s="63" t="s">
        <v>104</v>
      </c>
      <c r="M4" s="63" t="s">
        <v>104</v>
      </c>
      <c r="N4" s="63" t="s">
        <v>104</v>
      </c>
      <c r="O4" s="63" t="s">
        <v>104</v>
      </c>
      <c r="P4" s="63" t="s">
        <v>104</v>
      </c>
      <c r="Q4" s="63" t="s">
        <v>103</v>
      </c>
      <c r="R4" s="63" t="s">
        <v>103</v>
      </c>
      <c r="S4" s="63" t="s">
        <v>103</v>
      </c>
      <c r="T4" s="63" t="s">
        <v>104</v>
      </c>
      <c r="U4" s="63" t="s">
        <v>104</v>
      </c>
      <c r="V4" s="63" t="s">
        <v>104</v>
      </c>
      <c r="W4" s="63" t="s">
        <v>103</v>
      </c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IF(B4="","",IF('UC3-frente'!$I$13='UC2-frente'!$I$13,COUNTIFS(D4:AQ4,"|")+'UC2-verso'!AR4,COUNTIFS(D4:AQ4,"|")))</f>
        <v>10</v>
      </c>
      <c r="AS4" s="14">
        <v>60</v>
      </c>
      <c r="AT4" s="37">
        <f t="shared" ref="AT4:AT16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 t="s">
        <v>103</v>
      </c>
      <c r="E5" s="63" t="s">
        <v>103</v>
      </c>
      <c r="F5" s="63" t="s">
        <v>103</v>
      </c>
      <c r="G5" s="63" t="s">
        <v>103</v>
      </c>
      <c r="H5" s="63" t="s">
        <v>104</v>
      </c>
      <c r="I5" s="63" t="s">
        <v>104</v>
      </c>
      <c r="J5" s="63" t="s">
        <v>104</v>
      </c>
      <c r="K5" s="63" t="s">
        <v>103</v>
      </c>
      <c r="L5" s="63" t="s">
        <v>103</v>
      </c>
      <c r="M5" s="63" t="s">
        <v>103</v>
      </c>
      <c r="N5" s="63" t="s">
        <v>103</v>
      </c>
      <c r="O5" s="63" t="s">
        <v>103</v>
      </c>
      <c r="P5" s="63" t="s">
        <v>103</v>
      </c>
      <c r="Q5" s="63" t="s">
        <v>104</v>
      </c>
      <c r="R5" s="63" t="s">
        <v>104</v>
      </c>
      <c r="S5" s="63" t="s">
        <v>104</v>
      </c>
      <c r="T5" s="63" t="s">
        <v>103</v>
      </c>
      <c r="U5" s="63" t="s">
        <v>103</v>
      </c>
      <c r="V5" s="63" t="s">
        <v>103</v>
      </c>
      <c r="W5" s="63" t="s">
        <v>103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IF(B5="","",IF('UC3-frente'!$I$13='UC2-frente'!$I$13,COUNTIFS(D5:AQ5,"|")+'UC2-verso'!AR5,COUNTIFS(D5:AQ5,"|")))</f>
        <v>6</v>
      </c>
      <c r="AS5" s="14">
        <v>75</v>
      </c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 t="s">
        <v>104</v>
      </c>
      <c r="E6" s="63" t="s">
        <v>103</v>
      </c>
      <c r="F6" s="63" t="s">
        <v>103</v>
      </c>
      <c r="G6" s="63" t="s">
        <v>103</v>
      </c>
      <c r="H6" s="63" t="s">
        <v>104</v>
      </c>
      <c r="I6" s="63" t="s">
        <v>104</v>
      </c>
      <c r="J6" s="63" t="s">
        <v>104</v>
      </c>
      <c r="K6" s="63" t="s">
        <v>103</v>
      </c>
      <c r="L6" s="63" t="s">
        <v>103</v>
      </c>
      <c r="M6" s="63" t="s">
        <v>103</v>
      </c>
      <c r="N6" s="63" t="s">
        <v>103</v>
      </c>
      <c r="O6" s="63" t="s">
        <v>103</v>
      </c>
      <c r="P6" s="63" t="s">
        <v>103</v>
      </c>
      <c r="Q6" s="63" t="s">
        <v>103</v>
      </c>
      <c r="R6" s="63" t="s">
        <v>103</v>
      </c>
      <c r="S6" s="63" t="s">
        <v>103</v>
      </c>
      <c r="T6" s="63" t="s">
        <v>103</v>
      </c>
      <c r="U6" s="63" t="s">
        <v>103</v>
      </c>
      <c r="V6" s="63" t="s">
        <v>103</v>
      </c>
      <c r="W6" s="63" t="s">
        <v>103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IF(B6="","",IF('UC3-frente'!$I$13='UC2-frente'!$I$13,COUNTIFS(D6:AQ6,"|")+'UC2-verso'!AR6,COUNTIFS(D6:AQ6,"|")))</f>
        <v>4</v>
      </c>
      <c r="AS6" s="14">
        <v>90</v>
      </c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 t="s">
        <v>103</v>
      </c>
      <c r="E7" s="63" t="s">
        <v>104</v>
      </c>
      <c r="F7" s="63" t="s">
        <v>104</v>
      </c>
      <c r="G7" s="63" t="s">
        <v>104</v>
      </c>
      <c r="H7" s="63" t="s">
        <v>104</v>
      </c>
      <c r="I7" s="63" t="s">
        <v>104</v>
      </c>
      <c r="J7" s="63" t="s">
        <v>104</v>
      </c>
      <c r="K7" s="63" t="s">
        <v>104</v>
      </c>
      <c r="L7" s="63" t="s">
        <v>104</v>
      </c>
      <c r="M7" s="63" t="s">
        <v>104</v>
      </c>
      <c r="N7" s="63" t="s">
        <v>104</v>
      </c>
      <c r="O7" s="63" t="s">
        <v>104</v>
      </c>
      <c r="P7" s="63" t="s">
        <v>104</v>
      </c>
      <c r="Q7" s="63" t="s">
        <v>103</v>
      </c>
      <c r="R7" s="63" t="s">
        <v>103</v>
      </c>
      <c r="S7" s="63" t="s">
        <v>103</v>
      </c>
      <c r="T7" s="63" t="s">
        <v>103</v>
      </c>
      <c r="U7" s="63" t="s">
        <v>103</v>
      </c>
      <c r="V7" s="63" t="s">
        <v>103</v>
      </c>
      <c r="W7" s="63" t="s">
        <v>103</v>
      </c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IF(B7="","",IF('UC3-frente'!$I$13='UC2-frente'!$I$13,COUNTIFS(D7:AQ7,"|")+'UC2-verso'!AR7,COUNTIFS(D7:AQ7,"|")))</f>
        <v>12</v>
      </c>
      <c r="AS7" s="14">
        <v>60</v>
      </c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 t="s">
        <v>103</v>
      </c>
      <c r="E8" s="63" t="s">
        <v>104</v>
      </c>
      <c r="F8" s="63" t="s">
        <v>104</v>
      </c>
      <c r="G8" s="63" t="s">
        <v>104</v>
      </c>
      <c r="H8" s="63" t="s">
        <v>104</v>
      </c>
      <c r="I8" s="63" t="s">
        <v>104</v>
      </c>
      <c r="J8" s="63" t="s">
        <v>104</v>
      </c>
      <c r="K8" s="63" t="s">
        <v>104</v>
      </c>
      <c r="L8" s="63" t="s">
        <v>104</v>
      </c>
      <c r="M8" s="63" t="s">
        <v>104</v>
      </c>
      <c r="N8" s="63" t="s">
        <v>104</v>
      </c>
      <c r="O8" s="63" t="s">
        <v>104</v>
      </c>
      <c r="P8" s="63" t="s">
        <v>104</v>
      </c>
      <c r="Q8" s="63" t="s">
        <v>104</v>
      </c>
      <c r="R8" s="63" t="s">
        <v>104</v>
      </c>
      <c r="S8" s="63" t="s">
        <v>104</v>
      </c>
      <c r="T8" s="63" t="s">
        <v>104</v>
      </c>
      <c r="U8" s="63" t="s">
        <v>104</v>
      </c>
      <c r="V8" s="63" t="s">
        <v>104</v>
      </c>
      <c r="W8" s="63" t="s">
        <v>104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IF(B8="","",IF('UC3-frente'!$I$13='UC2-frente'!$I$13,COUNTIFS(D8:AQ8,"|")+'UC2-verso'!AR8,COUNTIFS(D8:AQ8,"|")))</f>
        <v>19</v>
      </c>
      <c r="AS8" s="14">
        <v>10</v>
      </c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 t="s">
        <v>103</v>
      </c>
      <c r="E9" s="63" t="s">
        <v>104</v>
      </c>
      <c r="F9" s="63" t="s">
        <v>104</v>
      </c>
      <c r="G9" s="63" t="s">
        <v>104</v>
      </c>
      <c r="H9" s="63" t="s">
        <v>103</v>
      </c>
      <c r="I9" s="63" t="s">
        <v>103</v>
      </c>
      <c r="J9" s="63" t="s">
        <v>103</v>
      </c>
      <c r="K9" s="63" t="s">
        <v>103</v>
      </c>
      <c r="L9" s="63" t="s">
        <v>103</v>
      </c>
      <c r="M9" s="63" t="s">
        <v>103</v>
      </c>
      <c r="N9" s="63" t="s">
        <v>103</v>
      </c>
      <c r="O9" s="63" t="s">
        <v>103</v>
      </c>
      <c r="P9" s="63" t="s">
        <v>103</v>
      </c>
      <c r="Q9" s="63" t="s">
        <v>103</v>
      </c>
      <c r="R9" s="63" t="s">
        <v>103</v>
      </c>
      <c r="S9" s="63" t="s">
        <v>103</v>
      </c>
      <c r="T9" s="63" t="s">
        <v>103</v>
      </c>
      <c r="U9" s="63" t="s">
        <v>103</v>
      </c>
      <c r="V9" s="63" t="s">
        <v>103</v>
      </c>
      <c r="W9" s="63" t="s">
        <v>104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IF(B9="","",IF('UC3-frente'!$I$13='UC2-frente'!$I$13,COUNTIFS(D9:AQ9,"|")+'UC2-verso'!AR9,COUNTIFS(D9:AQ9,"|")))</f>
        <v>4</v>
      </c>
      <c r="AS9" s="14">
        <v>90</v>
      </c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 t="s">
        <v>103</v>
      </c>
      <c r="E10" s="63" t="s">
        <v>103</v>
      </c>
      <c r="F10" s="63" t="s">
        <v>103</v>
      </c>
      <c r="G10" s="63" t="s">
        <v>103</v>
      </c>
      <c r="H10" s="63" t="s">
        <v>103</v>
      </c>
      <c r="I10" s="63" t="s">
        <v>103</v>
      </c>
      <c r="J10" s="63" t="s">
        <v>103</v>
      </c>
      <c r="K10" s="63" t="s">
        <v>103</v>
      </c>
      <c r="L10" s="63" t="s">
        <v>103</v>
      </c>
      <c r="M10" s="63" t="s">
        <v>103</v>
      </c>
      <c r="N10" s="63" t="s">
        <v>103</v>
      </c>
      <c r="O10" s="63" t="s">
        <v>103</v>
      </c>
      <c r="P10" s="63" t="s">
        <v>103</v>
      </c>
      <c r="Q10" s="63" t="s">
        <v>103</v>
      </c>
      <c r="R10" s="63" t="s">
        <v>103</v>
      </c>
      <c r="S10" s="63" t="s">
        <v>103</v>
      </c>
      <c r="T10" s="63" t="s">
        <v>103</v>
      </c>
      <c r="U10" s="63" t="s">
        <v>103</v>
      </c>
      <c r="V10" s="63" t="s">
        <v>103</v>
      </c>
      <c r="W10" s="63" t="s">
        <v>103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IF(B10="","",IF('UC3-frente'!$I$13='UC2-frente'!$I$13,COUNTIFS(D10:AQ10,"|")+'UC2-verso'!AR10,COUNTIFS(D10:AQ10,"|")))</f>
        <v>0</v>
      </c>
      <c r="AS10" s="14">
        <v>95</v>
      </c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 t="s">
        <v>104</v>
      </c>
      <c r="E11" s="63" t="s">
        <v>104</v>
      </c>
      <c r="F11" s="63" t="s">
        <v>104</v>
      </c>
      <c r="G11" s="63" t="s">
        <v>104</v>
      </c>
      <c r="H11" s="63" t="s">
        <v>104</v>
      </c>
      <c r="I11" s="63" t="s">
        <v>104</v>
      </c>
      <c r="J11" s="63" t="s">
        <v>104</v>
      </c>
      <c r="K11" s="63" t="s">
        <v>104</v>
      </c>
      <c r="L11" s="63" t="s">
        <v>104</v>
      </c>
      <c r="M11" s="63" t="s">
        <v>104</v>
      </c>
      <c r="N11" s="63" t="s">
        <v>104</v>
      </c>
      <c r="O11" s="63" t="s">
        <v>104</v>
      </c>
      <c r="P11" s="63" t="s">
        <v>104</v>
      </c>
      <c r="Q11" s="63" t="s">
        <v>104</v>
      </c>
      <c r="R11" s="63" t="s">
        <v>104</v>
      </c>
      <c r="S11" s="63" t="s">
        <v>104</v>
      </c>
      <c r="T11" s="63" t="s">
        <v>104</v>
      </c>
      <c r="U11" s="63" t="s">
        <v>104</v>
      </c>
      <c r="V11" s="63" t="s">
        <v>104</v>
      </c>
      <c r="W11" s="63" t="s">
        <v>104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IF(B11="","",IF('UC3-frente'!$I$13='UC2-frente'!$I$13,COUNTIFS(D11:AQ11,"|")+'UC2-verso'!AR11,COUNTIFS(D11:AQ11,"|")))</f>
        <v>20</v>
      </c>
      <c r="AS11" s="14">
        <v>0</v>
      </c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 t="s">
        <v>103</v>
      </c>
      <c r="E12" s="63" t="s">
        <v>103</v>
      </c>
      <c r="F12" s="63" t="s">
        <v>103</v>
      </c>
      <c r="G12" s="63" t="s">
        <v>103</v>
      </c>
      <c r="H12" s="63" t="s">
        <v>103</v>
      </c>
      <c r="I12" s="63" t="s">
        <v>103</v>
      </c>
      <c r="J12" s="63" t="s">
        <v>103</v>
      </c>
      <c r="K12" s="63" t="s">
        <v>103</v>
      </c>
      <c r="L12" s="63" t="s">
        <v>103</v>
      </c>
      <c r="M12" s="63" t="s">
        <v>103</v>
      </c>
      <c r="N12" s="63" t="s">
        <v>103</v>
      </c>
      <c r="O12" s="63" t="s">
        <v>103</v>
      </c>
      <c r="P12" s="63" t="s">
        <v>103</v>
      </c>
      <c r="Q12" s="63" t="s">
        <v>103</v>
      </c>
      <c r="R12" s="63" t="s">
        <v>103</v>
      </c>
      <c r="S12" s="63" t="s">
        <v>103</v>
      </c>
      <c r="T12" s="63" t="s">
        <v>104</v>
      </c>
      <c r="U12" s="63" t="s">
        <v>104</v>
      </c>
      <c r="V12" s="63" t="s">
        <v>104</v>
      </c>
      <c r="W12" s="63" t="s">
        <v>103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IF(B12="","",IF('UC3-frente'!$I$13='UC2-frente'!$I$13,COUNTIFS(D12:AQ12,"|")+'UC2-verso'!AR12,COUNTIFS(D12:AQ12,"|")))</f>
        <v>3</v>
      </c>
      <c r="AS12" s="14">
        <v>90</v>
      </c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 t="s">
        <v>104</v>
      </c>
      <c r="E13" s="63" t="s">
        <v>104</v>
      </c>
      <c r="F13" s="63" t="s">
        <v>104</v>
      </c>
      <c r="G13" s="63" t="s">
        <v>104</v>
      </c>
      <c r="H13" s="63" t="s">
        <v>104</v>
      </c>
      <c r="I13" s="63" t="s">
        <v>104</v>
      </c>
      <c r="J13" s="63" t="s">
        <v>104</v>
      </c>
      <c r="K13" s="63" t="s">
        <v>104</v>
      </c>
      <c r="L13" s="63" t="s">
        <v>104</v>
      </c>
      <c r="M13" s="63" t="s">
        <v>104</v>
      </c>
      <c r="N13" s="63" t="s">
        <v>104</v>
      </c>
      <c r="O13" s="63" t="s">
        <v>104</v>
      </c>
      <c r="P13" s="63" t="s">
        <v>104</v>
      </c>
      <c r="Q13" s="63" t="s">
        <v>104</v>
      </c>
      <c r="R13" s="63" t="s">
        <v>104</v>
      </c>
      <c r="S13" s="63" t="s">
        <v>104</v>
      </c>
      <c r="T13" s="63" t="s">
        <v>104</v>
      </c>
      <c r="U13" s="63" t="s">
        <v>104</v>
      </c>
      <c r="V13" s="63" t="s">
        <v>104</v>
      </c>
      <c r="W13" s="63" t="s">
        <v>104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IF(B13="","",IF('UC3-frente'!$I$13='UC2-frente'!$I$13,COUNTIFS(D13:AQ13,"|")+'UC2-verso'!AR13,COUNTIFS(D13:AQ13,"|")))</f>
        <v>20</v>
      </c>
      <c r="AS13" s="14">
        <v>0</v>
      </c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 t="s">
        <v>103</v>
      </c>
      <c r="E14" s="63" t="s">
        <v>104</v>
      </c>
      <c r="F14" s="63" t="s">
        <v>104</v>
      </c>
      <c r="G14" s="63" t="s">
        <v>104</v>
      </c>
      <c r="H14" s="63" t="s">
        <v>104</v>
      </c>
      <c r="I14" s="63" t="s">
        <v>104</v>
      </c>
      <c r="J14" s="63" t="s">
        <v>104</v>
      </c>
      <c r="K14" s="63" t="s">
        <v>103</v>
      </c>
      <c r="L14" s="63" t="s">
        <v>103</v>
      </c>
      <c r="M14" s="63" t="s">
        <v>103</v>
      </c>
      <c r="N14" s="63" t="s">
        <v>103</v>
      </c>
      <c r="O14" s="63" t="s">
        <v>103</v>
      </c>
      <c r="P14" s="63" t="s">
        <v>103</v>
      </c>
      <c r="Q14" s="63" t="s">
        <v>103</v>
      </c>
      <c r="R14" s="63" t="s">
        <v>103</v>
      </c>
      <c r="S14" s="63" t="s">
        <v>103</v>
      </c>
      <c r="T14" s="63" t="s">
        <v>103</v>
      </c>
      <c r="U14" s="63" t="s">
        <v>103</v>
      </c>
      <c r="V14" s="63" t="s">
        <v>103</v>
      </c>
      <c r="W14" s="63" t="s">
        <v>103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IF(B14="","",IF('UC3-frente'!$I$13='UC2-frente'!$I$13,COUNTIFS(D14:AQ14,"|")+'UC2-verso'!AR14,COUNTIFS(D14:AQ14,"|")))</f>
        <v>6</v>
      </c>
      <c r="AS14" s="14">
        <v>90</v>
      </c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 t="s">
        <v>103</v>
      </c>
      <c r="E15" s="63" t="s">
        <v>103</v>
      </c>
      <c r="F15" s="63" t="s">
        <v>103</v>
      </c>
      <c r="G15" s="63" t="s">
        <v>103</v>
      </c>
      <c r="H15" s="63" t="s">
        <v>103</v>
      </c>
      <c r="I15" s="63" t="s">
        <v>103</v>
      </c>
      <c r="J15" s="63" t="s">
        <v>103</v>
      </c>
      <c r="K15" s="63" t="s">
        <v>103</v>
      </c>
      <c r="L15" s="63" t="s">
        <v>103</v>
      </c>
      <c r="M15" s="63" t="s">
        <v>103</v>
      </c>
      <c r="N15" s="63"/>
      <c r="O15" s="63"/>
      <c r="P15" s="63"/>
      <c r="Q15" s="63" t="s">
        <v>103</v>
      </c>
      <c r="R15" s="63" t="s">
        <v>103</v>
      </c>
      <c r="S15" s="63" t="s">
        <v>103</v>
      </c>
      <c r="T15" s="63" t="s">
        <v>103</v>
      </c>
      <c r="U15" s="63" t="s">
        <v>103</v>
      </c>
      <c r="V15" s="63" t="s">
        <v>103</v>
      </c>
      <c r="W15" s="63" t="s">
        <v>103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IF(B15="","",IF('UC3-frente'!$I$13='UC2-frente'!$I$13,COUNTIFS(D15:AQ15,"|")+'UC2-verso'!AR15,COUNTIFS(D15:AQ15,"|")))</f>
        <v>0</v>
      </c>
      <c r="AS15" s="14">
        <v>95</v>
      </c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 t="s">
        <v>103</v>
      </c>
      <c r="E16" s="63" t="s">
        <v>103</v>
      </c>
      <c r="F16" s="63" t="s">
        <v>103</v>
      </c>
      <c r="G16" s="63" t="s">
        <v>103</v>
      </c>
      <c r="H16" s="63" t="s">
        <v>103</v>
      </c>
      <c r="I16" s="63" t="s">
        <v>103</v>
      </c>
      <c r="J16" s="63" t="s">
        <v>103</v>
      </c>
      <c r="K16" s="63" t="s">
        <v>103</v>
      </c>
      <c r="L16" s="63" t="s">
        <v>103</v>
      </c>
      <c r="M16" s="63" t="s">
        <v>103</v>
      </c>
      <c r="N16" s="63" t="s">
        <v>104</v>
      </c>
      <c r="O16" s="63" t="s">
        <v>104</v>
      </c>
      <c r="P16" s="63" t="s">
        <v>104</v>
      </c>
      <c r="Q16" s="63" t="s">
        <v>103</v>
      </c>
      <c r="R16" s="63" t="s">
        <v>103</v>
      </c>
      <c r="S16" s="63" t="s">
        <v>103</v>
      </c>
      <c r="T16" s="63" t="s">
        <v>103</v>
      </c>
      <c r="U16" s="63" t="s">
        <v>103</v>
      </c>
      <c r="V16" s="63" t="s">
        <v>103</v>
      </c>
      <c r="W16" s="63" t="s">
        <v>103</v>
      </c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IF(B16="","",IF('UC3-frente'!$I$13='UC2-frente'!$I$13,COUNTIFS(D16:AQ16,"|")+'UC2-verso'!AR16,COUNTIFS(D16:AQ16,"|")))</f>
        <v>3</v>
      </c>
      <c r="AS16" s="14">
        <v>90</v>
      </c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IF(B17="","",IF('UC3-frente'!$I$13='UC2-frente'!$I$13,COUNTIFS(D17:AQ17,"|")+'UC2-verso'!AR17,COUNTIFS(D17:AQ17,"|")))</f>
        <v/>
      </c>
      <c r="AS17" s="14"/>
      <c r="AT17" s="37"/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IF(B18="","",IF('UC3-frente'!$I$13='UC2-frente'!$I$13,COUNTIFS(D18:AQ18,"|")+'UC2-verso'!AR18,COUNTIFS(D18:AQ18,"|")))</f>
        <v/>
      </c>
      <c r="AS18" s="14"/>
      <c r="AT18" s="37"/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IF(B19="","",IF('UC3-frente'!$I$13='UC2-frente'!$I$13,COUNTIFS(D19:AQ19,"|")+'UC2-verso'!AR19,COUNTIFS(D19:AQ19,"|")))</f>
        <v/>
      </c>
      <c r="AS19" s="14"/>
      <c r="AT19" s="37"/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IF(B20="","",IF('UC3-frente'!$I$13='UC2-frente'!$I$13,COUNTIFS(D20:AQ20,"|")+'UC2-verso'!AR20,COUNTIFS(D20:AQ20,"|")))</f>
        <v/>
      </c>
      <c r="AS20" s="14"/>
      <c r="AT20" s="37"/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IF(B21="","",IF('UC3-frente'!$I$13='UC2-frente'!$I$13,COUNTIFS(D21:AQ21,"|")+'UC2-verso'!AR21,COUNTIFS(D21:AQ21,"|")))</f>
        <v/>
      </c>
      <c r="AS21" s="14"/>
      <c r="AT21" s="37"/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IF(B22="","",IF('UC3-frente'!$I$13='UC2-frente'!$I$13,COUNTIFS(D22:AQ22,"|")+'UC2-verso'!AR22,COUNTIFS(D22:AQ22,"|")))</f>
        <v/>
      </c>
      <c r="AS22" s="14"/>
      <c r="AT22" s="37"/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IF(B23="","",IF('UC3-frente'!$I$13='UC2-frente'!$I$13,COUNTIFS(D23:AQ23,"|")+'UC2-verso'!AR23,COUNTIFS(D23:AQ23,"|")))</f>
        <v/>
      </c>
      <c r="AS23" s="14"/>
      <c r="AT23" s="37"/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2"/>
      <c r="AJ24" s="52"/>
      <c r="AK24" s="52"/>
      <c r="AL24" s="52"/>
      <c r="AM24" s="53"/>
      <c r="AN24" s="73"/>
      <c r="AO24" s="69"/>
      <c r="AP24" s="69"/>
      <c r="AQ24" s="69"/>
      <c r="AR24" s="37" t="str">
        <f>IF(B24="","",IF('UC3-frente'!$I$13='UC2-frente'!$I$13,COUNTIFS(D24:AQ24,"|")+'UC2-verso'!AR24,COUNTIFS(D24:AQ24,"|")))</f>
        <v/>
      </c>
      <c r="AS24" s="15"/>
      <c r="AT24" s="37"/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73"/>
      <c r="AO25" s="69"/>
      <c r="AP25" s="69"/>
      <c r="AQ25" s="69"/>
      <c r="AR25" s="37" t="str">
        <f>IF(B25="","",IF('UC3-frente'!$I$13='UC2-frente'!$I$13,COUNTIFS(D25:AQ25,"|")+'UC2-verso'!AR25,COUNTIFS(D25:AQ25,"|")))</f>
        <v/>
      </c>
      <c r="AS25" s="15"/>
      <c r="AT25" s="37"/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2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IF(B26="","",IF('UC3-frente'!$I$13='UC2-frente'!$I$13,COUNTIFS(D26:AQ26,"|")+'UC2-verso'!AR26,COUNTIFS(D26:AQ26,"|")))</f>
        <v/>
      </c>
      <c r="AS26" s="16"/>
      <c r="AT26" s="38"/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3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73"/>
      <c r="AO27" s="73"/>
      <c r="AP27" s="69"/>
      <c r="AQ27" s="73"/>
      <c r="AR27" s="37" t="str">
        <f>IF(B27="","",IF('UC3-frente'!$I$13='UC2-frente'!$I$13,COUNTIFS(D27:AQ27,"|")+'UC2-verso'!AR27,COUNTIFS(D27:AQ27,"|")))</f>
        <v/>
      </c>
      <c r="AS27" s="15"/>
      <c r="AT27" s="37"/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IF(B28="","",IF('UC3-frente'!$I$13='UC2-frente'!$I$13,COUNTIFS(D28:AQ28,"|")+'UC2-verso'!AR28,COUNTIFS(D28:AQ28,"|")))</f>
        <v/>
      </c>
      <c r="AS28" s="17"/>
      <c r="AT28" s="39"/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2"/>
      <c r="AJ29" s="52"/>
      <c r="AK29" s="52"/>
      <c r="AL29" s="52"/>
      <c r="AM29" s="53"/>
      <c r="AN29" s="73"/>
      <c r="AO29" s="69"/>
      <c r="AP29" s="69"/>
      <c r="AQ29" s="69"/>
      <c r="AR29" s="37" t="str">
        <f>IF(B29="","",IF('UC3-frente'!$I$13='UC2-frente'!$I$13,COUNTIFS(D29:AQ29,"|")+'UC2-verso'!AR29,COUNTIFS(D29:AQ29,"|")))</f>
        <v/>
      </c>
      <c r="AS29" s="15"/>
      <c r="AT29" s="37"/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2"/>
      <c r="AJ30" s="55"/>
      <c r="AK30" s="55"/>
      <c r="AL30" s="55"/>
      <c r="AM30" s="56"/>
      <c r="AN30" s="73"/>
      <c r="AO30" s="69"/>
      <c r="AP30" s="69"/>
      <c r="AQ30" s="69"/>
      <c r="AR30" s="37" t="str">
        <f>IF(B30="","",IF('UC3-frente'!$I$13='UC2-frente'!$I$13,COUNTIFS(D30:AQ30,"|")+'UC2-verso'!AR30,COUNTIFS(D30:AQ30,"|")))</f>
        <v/>
      </c>
      <c r="AS30" s="15"/>
      <c r="AT30" s="37"/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2"/>
      <c r="AJ31" s="52"/>
      <c r="AK31" s="52"/>
      <c r="AL31" s="52"/>
      <c r="AM31" s="53"/>
      <c r="AN31" s="73"/>
      <c r="AO31" s="69"/>
      <c r="AP31" s="69"/>
      <c r="AQ31" s="69"/>
      <c r="AR31" s="37" t="str">
        <f>IF(B31="","",IF('UC3-frente'!$I$13='UC2-frente'!$I$13,COUNTIFS(D31:AQ31,"|")+'UC2-verso'!AR31,COUNTIFS(D31:AQ31,"|")))</f>
        <v/>
      </c>
      <c r="AS31" s="15"/>
      <c r="AT31" s="37"/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73"/>
      <c r="AO32" s="69"/>
      <c r="AP32" s="69"/>
      <c r="AQ32" s="69"/>
      <c r="AR32" s="37" t="str">
        <f>IF(B32="","",IF('UC3-frente'!$I$13='UC2-frente'!$I$13,COUNTIFS(D32:AQ32,"|")+'UC2-verso'!AR32,COUNTIFS(D32:AQ32,"|")))</f>
        <v/>
      </c>
      <c r="AS32" s="15"/>
      <c r="AT32" s="37"/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2"/>
      <c r="AJ33" s="52"/>
      <c r="AK33" s="52"/>
      <c r="AL33" s="52"/>
      <c r="AM33" s="53"/>
      <c r="AN33" s="73"/>
      <c r="AO33" s="69"/>
      <c r="AP33" s="69"/>
      <c r="AQ33" s="69"/>
      <c r="AR33" s="37" t="str">
        <f>IF(B33="","",IF('UC3-frente'!$I$13='UC2-frente'!$I$13,COUNTIFS(D33:AQ33,"|")+'UC2-verso'!AR33,COUNTIFS(D33:AQ33,"|")))</f>
        <v/>
      </c>
      <c r="AS33" s="15"/>
      <c r="AT33" s="37"/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73"/>
      <c r="AO34" s="69"/>
      <c r="AP34" s="69"/>
      <c r="AQ34" s="69"/>
      <c r="AR34" s="37" t="str">
        <f>IF(B34="","",IF('UC3-frente'!$I$13='UC2-frente'!$I$13,COUNTIFS(D34:AQ34,"|")+'UC2-verso'!AR34,COUNTIFS(D34:AQ34,"|")))</f>
        <v/>
      </c>
      <c r="AS34" s="15"/>
      <c r="AT34" s="37"/>
      <c r="AU34" s="66"/>
    </row>
    <row r="36" spans="1:47" x14ac:dyDescent="0.2">
      <c r="A36" s="217" t="s">
        <v>8</v>
      </c>
      <c r="B36" s="217"/>
      <c r="C36" s="104"/>
      <c r="D36" s="10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04"/>
      <c r="B38" s="104"/>
      <c r="C38" s="104"/>
      <c r="D38" s="10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04"/>
      <c r="B40" s="104"/>
      <c r="C40" s="104"/>
      <c r="D40" s="10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protectedRanges>
    <protectedRange sqref="D1:AQ34 AS3:AS34" name="Intervalo1"/>
  </protectedRanges>
  <mergeCells count="52">
    <mergeCell ref="A1:A2"/>
    <mergeCell ref="B1:B2"/>
    <mergeCell ref="AR1:AR2"/>
    <mergeCell ref="AS1:AS2"/>
    <mergeCell ref="B23:C23"/>
    <mergeCell ref="B12:C12"/>
    <mergeCell ref="B6:C6"/>
    <mergeCell ref="B7:C7"/>
    <mergeCell ref="B8:C8"/>
    <mergeCell ref="B9:C9"/>
    <mergeCell ref="B10:C10"/>
    <mergeCell ref="B11:C11"/>
    <mergeCell ref="B18:C18"/>
    <mergeCell ref="B19:C19"/>
    <mergeCell ref="B20:C20"/>
    <mergeCell ref="B21:C21"/>
    <mergeCell ref="AT1:AT2"/>
    <mergeCell ref="AU1:AU2"/>
    <mergeCell ref="B3:C3"/>
    <mergeCell ref="B4:C4"/>
    <mergeCell ref="B5:C5"/>
    <mergeCell ref="D1:J1"/>
    <mergeCell ref="K1:W1"/>
    <mergeCell ref="B22:C22"/>
    <mergeCell ref="B13:C13"/>
    <mergeCell ref="B14:C14"/>
    <mergeCell ref="B15:C15"/>
    <mergeCell ref="B16:C16"/>
    <mergeCell ref="B17:C17"/>
    <mergeCell ref="AP39:AU39"/>
    <mergeCell ref="M40:X40"/>
    <mergeCell ref="AA40:AL40"/>
    <mergeCell ref="AP40:AU40"/>
    <mergeCell ref="B31:C31"/>
    <mergeCell ref="B32:C32"/>
    <mergeCell ref="B33:C33"/>
    <mergeCell ref="B34:C34"/>
    <mergeCell ref="A36:B36"/>
    <mergeCell ref="A37:D37"/>
    <mergeCell ref="A39:D39"/>
    <mergeCell ref="M39:X39"/>
    <mergeCell ref="B28:C28"/>
    <mergeCell ref="B29:C29"/>
    <mergeCell ref="AA39:AL39"/>
    <mergeCell ref="A44:AE45"/>
    <mergeCell ref="B24:C24"/>
    <mergeCell ref="B25:C25"/>
    <mergeCell ref="B26:C26"/>
    <mergeCell ref="B27:C27"/>
    <mergeCell ref="B30:C30"/>
    <mergeCell ref="A41:C41"/>
    <mergeCell ref="A43:P43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topLeftCell="A24" zoomScaleNormal="100" workbookViewId="0">
      <selection activeCell="C28" sqref="C28:F28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116">
        <v>44489</v>
      </c>
      <c r="B3" s="83">
        <v>2</v>
      </c>
      <c r="C3" s="245" t="s">
        <v>118</v>
      </c>
      <c r="D3" s="245"/>
      <c r="E3" s="245"/>
      <c r="F3" s="245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116"/>
      <c r="B4" s="83"/>
      <c r="C4" s="245" t="s">
        <v>119</v>
      </c>
      <c r="D4" s="245"/>
      <c r="E4" s="245"/>
      <c r="F4" s="245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116">
        <v>44490</v>
      </c>
      <c r="B5" s="83">
        <v>3</v>
      </c>
      <c r="C5" s="245" t="s">
        <v>118</v>
      </c>
      <c r="D5" s="245"/>
      <c r="E5" s="245"/>
      <c r="F5" s="245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116"/>
      <c r="B6" s="83"/>
      <c r="C6" s="245" t="s">
        <v>119</v>
      </c>
      <c r="D6" s="245"/>
      <c r="E6" s="245"/>
      <c r="F6" s="245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116">
        <v>44496</v>
      </c>
      <c r="B7" s="83">
        <v>3</v>
      </c>
      <c r="C7" s="245" t="s">
        <v>120</v>
      </c>
      <c r="D7" s="245"/>
      <c r="E7" s="245"/>
      <c r="F7" s="245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116"/>
      <c r="B8" s="83"/>
      <c r="C8" s="245"/>
      <c r="D8" s="245"/>
      <c r="E8" s="245"/>
      <c r="F8" s="245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116">
        <v>44497</v>
      </c>
      <c r="B9" s="83">
        <v>3</v>
      </c>
      <c r="C9" s="228" t="s">
        <v>120</v>
      </c>
      <c r="D9" s="228"/>
      <c r="E9" s="228"/>
      <c r="F9" s="228"/>
      <c r="G9" s="4"/>
      <c r="H9" s="5"/>
      <c r="I9" s="100"/>
      <c r="J9" s="27"/>
      <c r="K9" s="28" t="s">
        <v>42</v>
      </c>
      <c r="L9" s="27"/>
      <c r="M9" s="28" t="s">
        <v>42</v>
      </c>
      <c r="N9" s="27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116"/>
      <c r="B10" s="83"/>
      <c r="C10" s="263"/>
      <c r="D10" s="264"/>
      <c r="E10" s="264"/>
      <c r="F10" s="265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116">
        <v>44504</v>
      </c>
      <c r="B11" s="83">
        <v>3</v>
      </c>
      <c r="C11" s="259" t="s">
        <v>120</v>
      </c>
      <c r="D11" s="259"/>
      <c r="E11" s="259"/>
      <c r="F11" s="259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116"/>
      <c r="B12" s="83"/>
      <c r="C12" s="245"/>
      <c r="D12" s="245"/>
      <c r="E12" s="245"/>
      <c r="F12" s="245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116">
        <v>44510</v>
      </c>
      <c r="B13" s="83">
        <v>3</v>
      </c>
      <c r="C13" s="245" t="s">
        <v>121</v>
      </c>
      <c r="D13" s="245"/>
      <c r="E13" s="245"/>
      <c r="F13" s="245"/>
      <c r="G13" s="4"/>
      <c r="H13" s="5"/>
      <c r="I13" s="178" t="s">
        <v>74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116"/>
      <c r="B14" s="83"/>
      <c r="C14" s="234" t="s">
        <v>122</v>
      </c>
      <c r="D14" s="235"/>
      <c r="E14" s="235"/>
      <c r="F14" s="236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116">
        <v>44511</v>
      </c>
      <c r="B15" s="83">
        <v>3</v>
      </c>
      <c r="C15" s="245" t="s">
        <v>121</v>
      </c>
      <c r="D15" s="245"/>
      <c r="E15" s="245"/>
      <c r="F15" s="245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116"/>
      <c r="B16" s="83"/>
      <c r="C16" s="234" t="s">
        <v>122</v>
      </c>
      <c r="D16" s="235"/>
      <c r="E16" s="235"/>
      <c r="F16" s="236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116">
        <v>44517</v>
      </c>
      <c r="B17" s="83">
        <v>3</v>
      </c>
      <c r="C17" s="245" t="s">
        <v>121</v>
      </c>
      <c r="D17" s="245"/>
      <c r="E17" s="245"/>
      <c r="F17" s="245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116"/>
      <c r="B18" s="83"/>
      <c r="C18" s="234" t="s">
        <v>122</v>
      </c>
      <c r="D18" s="235"/>
      <c r="E18" s="235"/>
      <c r="F18" s="236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116">
        <v>44518</v>
      </c>
      <c r="B19" s="83">
        <v>3</v>
      </c>
      <c r="C19" s="245" t="s">
        <v>121</v>
      </c>
      <c r="D19" s="245"/>
      <c r="E19" s="245"/>
      <c r="F19" s="245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116"/>
      <c r="B20" s="83"/>
      <c r="C20" s="234" t="s">
        <v>122</v>
      </c>
      <c r="D20" s="235"/>
      <c r="E20" s="235"/>
      <c r="F20" s="236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116">
        <v>44524</v>
      </c>
      <c r="B21" s="83">
        <v>3</v>
      </c>
      <c r="C21" s="255" t="s">
        <v>123</v>
      </c>
      <c r="D21" s="255"/>
      <c r="E21" s="255"/>
      <c r="F21" s="255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116"/>
      <c r="B22" s="83"/>
      <c r="C22" s="255" t="s">
        <v>124</v>
      </c>
      <c r="D22" s="255"/>
      <c r="E22" s="255"/>
      <c r="F22" s="255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116">
        <v>44525</v>
      </c>
      <c r="B23" s="83">
        <v>3</v>
      </c>
      <c r="C23" s="255" t="s">
        <v>123</v>
      </c>
      <c r="D23" s="255"/>
      <c r="E23" s="255"/>
      <c r="F23" s="255"/>
      <c r="G23" s="4"/>
      <c r="H23" s="5"/>
      <c r="I23" s="187">
        <f>VLOOKUP(I13,DADOS_GERAIS!C52:D61,2,0)</f>
        <v>40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116"/>
      <c r="B24" s="83"/>
      <c r="C24" s="255" t="s">
        <v>124</v>
      </c>
      <c r="D24" s="255"/>
      <c r="E24" s="255"/>
      <c r="F24" s="255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116">
        <v>44531</v>
      </c>
      <c r="B25" s="83">
        <v>3</v>
      </c>
      <c r="C25" s="255" t="s">
        <v>123</v>
      </c>
      <c r="D25" s="255"/>
      <c r="E25" s="255"/>
      <c r="F25" s="255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116"/>
      <c r="B26" s="83"/>
      <c r="C26" s="255" t="s">
        <v>124</v>
      </c>
      <c r="D26" s="255"/>
      <c r="E26" s="255"/>
      <c r="F26" s="255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116">
        <v>44532</v>
      </c>
      <c r="B27" s="83">
        <v>3</v>
      </c>
      <c r="C27" s="255" t="s">
        <v>125</v>
      </c>
      <c r="D27" s="255"/>
      <c r="E27" s="255"/>
      <c r="F27" s="255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116">
        <v>44538</v>
      </c>
      <c r="B28" s="83">
        <v>2</v>
      </c>
      <c r="C28" s="255" t="s">
        <v>125</v>
      </c>
      <c r="D28" s="255"/>
      <c r="E28" s="255"/>
      <c r="F28" s="255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116"/>
      <c r="B29" s="83"/>
      <c r="C29" s="255"/>
      <c r="D29" s="255"/>
      <c r="E29" s="255"/>
      <c r="F29" s="255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266"/>
      <c r="D30" s="267"/>
      <c r="E30" s="267"/>
      <c r="F30" s="268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01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>
        <f>IF(A3="","___/___/___",A3)</f>
        <v>44489</v>
      </c>
      <c r="J45" s="226"/>
      <c r="K45" s="227"/>
      <c r="L45" s="225">
        <f>IF(A3="","___/___/___",IF(I13='UC5-frente'!I13,'UC5-frente'!L45,MAX(A3:A45)))</f>
        <v>44538</v>
      </c>
      <c r="M45" s="227"/>
      <c r="N45" s="137">
        <f>IF(A3="","",IF(I13='UC3-frente'!I13,SUM(B3:B45)+'UC3-frente'!N45,SUM(B3:B45)))</f>
        <v>40</v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1">
    <mergeCell ref="M36:M37"/>
    <mergeCell ref="N36:P37"/>
    <mergeCell ref="M38:M39"/>
    <mergeCell ref="N38:P39"/>
    <mergeCell ref="M40:M41"/>
    <mergeCell ref="N40:P41"/>
    <mergeCell ref="I31:K31"/>
    <mergeCell ref="N31:P31"/>
    <mergeCell ref="L32:L33"/>
    <mergeCell ref="M32:M33"/>
    <mergeCell ref="N32:P33"/>
    <mergeCell ref="M34:M35"/>
    <mergeCell ref="N34:P35"/>
    <mergeCell ref="C44:F44"/>
    <mergeCell ref="I44:K44"/>
    <mergeCell ref="L44:M44"/>
    <mergeCell ref="N44:P44"/>
    <mergeCell ref="C45:F45"/>
    <mergeCell ref="I45:K45"/>
    <mergeCell ref="L45:M45"/>
    <mergeCell ref="N45:P45"/>
    <mergeCell ref="C40:F40"/>
    <mergeCell ref="L40:L41"/>
    <mergeCell ref="C41:F41"/>
    <mergeCell ref="I41:K41"/>
    <mergeCell ref="C42:F42"/>
    <mergeCell ref="L42:L43"/>
    <mergeCell ref="C43:F43"/>
    <mergeCell ref="I43:K43"/>
    <mergeCell ref="M42:M43"/>
    <mergeCell ref="N42:P43"/>
    <mergeCell ref="C36:F36"/>
    <mergeCell ref="L36:L37"/>
    <mergeCell ref="C37:F37"/>
    <mergeCell ref="I37:K37"/>
    <mergeCell ref="C38:F38"/>
    <mergeCell ref="L38:L39"/>
    <mergeCell ref="C39:F39"/>
    <mergeCell ref="I39:K39"/>
    <mergeCell ref="C33:F33"/>
    <mergeCell ref="I33:K33"/>
    <mergeCell ref="C34:F34"/>
    <mergeCell ref="C35:F35"/>
    <mergeCell ref="I35:K35"/>
    <mergeCell ref="L34:L35"/>
    <mergeCell ref="C32:F32"/>
    <mergeCell ref="C24:F24"/>
    <mergeCell ref="C25:F25"/>
    <mergeCell ref="C26:F26"/>
    <mergeCell ref="C27:F27"/>
    <mergeCell ref="C28:F28"/>
    <mergeCell ref="C29:F29"/>
    <mergeCell ref="C30:F30"/>
    <mergeCell ref="C31:F31"/>
    <mergeCell ref="I24:P24"/>
    <mergeCell ref="I25:P28"/>
    <mergeCell ref="I29:P30"/>
    <mergeCell ref="C22:F22"/>
    <mergeCell ref="C23:F23"/>
    <mergeCell ref="I23:J23"/>
    <mergeCell ref="K23:P23"/>
    <mergeCell ref="C20:F20"/>
    <mergeCell ref="I20:J20"/>
    <mergeCell ref="K20:L20"/>
    <mergeCell ref="C21:F21"/>
    <mergeCell ref="I21:J21"/>
    <mergeCell ref="M20:O20"/>
    <mergeCell ref="K22:P22"/>
    <mergeCell ref="K21:P21"/>
    <mergeCell ref="C17:F17"/>
    <mergeCell ref="C18:F18"/>
    <mergeCell ref="I18:J18"/>
    <mergeCell ref="C19:F19"/>
    <mergeCell ref="I19:J19"/>
    <mergeCell ref="K19:L19"/>
    <mergeCell ref="M19:O19"/>
    <mergeCell ref="C13:F13"/>
    <mergeCell ref="I13:P13"/>
    <mergeCell ref="C14:F14"/>
    <mergeCell ref="I14:P14"/>
    <mergeCell ref="C15:F15"/>
    <mergeCell ref="C16:F16"/>
    <mergeCell ref="I15:P16"/>
    <mergeCell ref="I17:J17"/>
    <mergeCell ref="K17:P17"/>
    <mergeCell ref="K18:L18"/>
    <mergeCell ref="M18:O18"/>
    <mergeCell ref="A1:A2"/>
    <mergeCell ref="B1:B2"/>
    <mergeCell ref="C1:F2"/>
    <mergeCell ref="C3:F3"/>
    <mergeCell ref="C4:F4"/>
    <mergeCell ref="C12:F12"/>
    <mergeCell ref="I12:P12"/>
    <mergeCell ref="I5:P5"/>
    <mergeCell ref="C6:F6"/>
    <mergeCell ref="I6:P6"/>
    <mergeCell ref="C7:F7"/>
    <mergeCell ref="C8:F8"/>
    <mergeCell ref="I8:J8"/>
    <mergeCell ref="K8:L8"/>
    <mergeCell ref="M8:N8"/>
    <mergeCell ref="C5:F5"/>
    <mergeCell ref="C9:F9"/>
    <mergeCell ref="C10:F10"/>
    <mergeCell ref="I10:P10"/>
    <mergeCell ref="C11:F11"/>
    <mergeCell ref="L1:P1"/>
    <mergeCell ref="L2:P2"/>
    <mergeCell ref="L3:P3"/>
    <mergeCell ref="I11:P11"/>
  </mergeCells>
  <conditionalFormatting sqref="I6:P6 O9:P9 I18 I11 I21 I23 K23 I15">
    <cfRule type="cellIs" dxfId="13" priority="2" operator="equal">
      <formula>0</formula>
    </cfRule>
  </conditionalFormatting>
  <conditionalFormatting sqref="I13">
    <cfRule type="cellIs" dxfId="12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1265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1265" r:id="rId4"/>
      </mc:Fallback>
    </mc:AlternateContent>
    <mc:AlternateContent xmlns:mc="http://schemas.openxmlformats.org/markup-compatibility/2006">
      <mc:Choice Requires="x14">
        <oleObject progId="MSPhotoEd.3" shapeId="11266" r:id="rId6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1266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B8" sqref="B8:C8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570312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260" t="s">
        <v>117</v>
      </c>
      <c r="E1" s="261"/>
      <c r="F1" s="261"/>
      <c r="G1" s="261"/>
      <c r="H1" s="261"/>
      <c r="I1" s="261"/>
      <c r="J1" s="261"/>
      <c r="K1" s="261"/>
      <c r="L1" s="261"/>
      <c r="M1" s="261"/>
      <c r="N1" s="262"/>
      <c r="O1" s="260" t="s">
        <v>126</v>
      </c>
      <c r="P1" s="261"/>
      <c r="Q1" s="261"/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1"/>
      <c r="AI1" s="261"/>
      <c r="AJ1" s="260" t="s">
        <v>127</v>
      </c>
      <c r="AK1" s="261"/>
      <c r="AL1" s="261"/>
      <c r="AM1" s="261"/>
      <c r="AN1" s="261"/>
      <c r="AO1" s="261"/>
      <c r="AP1" s="261"/>
      <c r="AQ1" s="262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>
        <v>20</v>
      </c>
      <c r="E2" s="9">
        <v>20</v>
      </c>
      <c r="F2" s="9">
        <v>21</v>
      </c>
      <c r="G2" s="9">
        <v>21</v>
      </c>
      <c r="H2" s="9">
        <v>21</v>
      </c>
      <c r="I2" s="9">
        <v>27</v>
      </c>
      <c r="J2" s="9">
        <v>27</v>
      </c>
      <c r="K2" s="9">
        <v>27</v>
      </c>
      <c r="L2" s="9">
        <v>28</v>
      </c>
      <c r="M2" s="9">
        <v>28</v>
      </c>
      <c r="N2" s="9">
        <v>28</v>
      </c>
      <c r="O2" s="9">
        <v>4</v>
      </c>
      <c r="P2" s="9">
        <v>4</v>
      </c>
      <c r="Q2" s="9">
        <v>4</v>
      </c>
      <c r="R2" s="9">
        <v>10</v>
      </c>
      <c r="S2" s="9">
        <v>10</v>
      </c>
      <c r="T2" s="9">
        <v>10</v>
      </c>
      <c r="U2" s="9">
        <v>11</v>
      </c>
      <c r="V2" s="9">
        <v>11</v>
      </c>
      <c r="W2" s="9">
        <v>11</v>
      </c>
      <c r="X2" s="9">
        <v>17</v>
      </c>
      <c r="Y2" s="9">
        <v>17</v>
      </c>
      <c r="Z2" s="9">
        <v>17</v>
      </c>
      <c r="AA2" s="9">
        <v>18</v>
      </c>
      <c r="AB2" s="9">
        <v>18</v>
      </c>
      <c r="AC2" s="9">
        <v>18</v>
      </c>
      <c r="AD2" s="9">
        <v>24</v>
      </c>
      <c r="AE2" s="9">
        <v>24</v>
      </c>
      <c r="AF2" s="9">
        <v>24</v>
      </c>
      <c r="AG2" s="9">
        <v>25</v>
      </c>
      <c r="AH2" s="9">
        <v>25</v>
      </c>
      <c r="AI2" s="9">
        <v>25</v>
      </c>
      <c r="AJ2" s="9">
        <v>1</v>
      </c>
      <c r="AK2" s="9">
        <v>1</v>
      </c>
      <c r="AL2" s="9">
        <v>1</v>
      </c>
      <c r="AM2" s="9">
        <v>2</v>
      </c>
      <c r="AN2" s="9">
        <v>2</v>
      </c>
      <c r="AO2" s="9">
        <v>2</v>
      </c>
      <c r="AP2" s="9">
        <v>8</v>
      </c>
      <c r="AQ2" s="9">
        <v>8</v>
      </c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 t="s">
        <v>104</v>
      </c>
      <c r="E3" s="63" t="s">
        <v>104</v>
      </c>
      <c r="F3" s="63" t="s">
        <v>104</v>
      </c>
      <c r="G3" s="63" t="s">
        <v>104</v>
      </c>
      <c r="H3" s="63" t="s">
        <v>104</v>
      </c>
      <c r="I3" s="63" t="s">
        <v>104</v>
      </c>
      <c r="J3" s="63" t="s">
        <v>104</v>
      </c>
      <c r="K3" s="63" t="s">
        <v>104</v>
      </c>
      <c r="L3" s="63" t="s">
        <v>104</v>
      </c>
      <c r="M3" s="63" t="s">
        <v>104</v>
      </c>
      <c r="N3" s="63" t="s">
        <v>104</v>
      </c>
      <c r="O3" s="63" t="s">
        <v>104</v>
      </c>
      <c r="P3" s="63" t="s">
        <v>104</v>
      </c>
      <c r="Q3" s="63" t="s">
        <v>104</v>
      </c>
      <c r="R3" s="63" t="s">
        <v>103</v>
      </c>
      <c r="S3" s="63" t="s">
        <v>103</v>
      </c>
      <c r="T3" s="63" t="s">
        <v>103</v>
      </c>
      <c r="U3" s="63" t="s">
        <v>103</v>
      </c>
      <c r="V3" s="63" t="s">
        <v>103</v>
      </c>
      <c r="W3" s="63" t="s">
        <v>103</v>
      </c>
      <c r="X3" s="63" t="s">
        <v>103</v>
      </c>
      <c r="Y3" s="63" t="s">
        <v>103</v>
      </c>
      <c r="Z3" s="63" t="s">
        <v>103</v>
      </c>
      <c r="AA3" s="63" t="s">
        <v>104</v>
      </c>
      <c r="AB3" s="63" t="s">
        <v>104</v>
      </c>
      <c r="AC3" s="63" t="s">
        <v>104</v>
      </c>
      <c r="AD3" s="63" t="s">
        <v>103</v>
      </c>
      <c r="AE3" s="63" t="s">
        <v>103</v>
      </c>
      <c r="AF3" s="63" t="s">
        <v>103</v>
      </c>
      <c r="AG3" s="63" t="s">
        <v>103</v>
      </c>
      <c r="AH3" s="63" t="s">
        <v>103</v>
      </c>
      <c r="AI3" s="63" t="s">
        <v>103</v>
      </c>
      <c r="AJ3" s="63" t="s">
        <v>103</v>
      </c>
      <c r="AK3" s="63" t="s">
        <v>103</v>
      </c>
      <c r="AL3" s="63" t="s">
        <v>103</v>
      </c>
      <c r="AM3" s="63" t="s">
        <v>103</v>
      </c>
      <c r="AN3" s="63" t="s">
        <v>103</v>
      </c>
      <c r="AO3" s="63" t="s">
        <v>103</v>
      </c>
      <c r="AP3" s="63" t="s">
        <v>103</v>
      </c>
      <c r="AQ3" s="63" t="s">
        <v>103</v>
      </c>
      <c r="AR3" s="37">
        <f>IF(B3="","",IF('UC4-frente'!$I$13='UC3-frente'!$I$13,COUNTIFS(D3:AQ3,"|")+'UC3-verso'!AR3,COUNTIFS(D3:AQ3,"|")))</f>
        <v>17</v>
      </c>
      <c r="AS3" s="83">
        <v>60</v>
      </c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 t="s">
        <v>103</v>
      </c>
      <c r="E4" s="63" t="s">
        <v>103</v>
      </c>
      <c r="F4" s="63" t="s">
        <v>103</v>
      </c>
      <c r="G4" s="63" t="s">
        <v>103</v>
      </c>
      <c r="H4" s="63" t="s">
        <v>103</v>
      </c>
      <c r="I4" s="63" t="s">
        <v>104</v>
      </c>
      <c r="J4" s="63" t="s">
        <v>104</v>
      </c>
      <c r="K4" s="63" t="s">
        <v>104</v>
      </c>
      <c r="L4" s="63" t="s">
        <v>103</v>
      </c>
      <c r="M4" s="63" t="s">
        <v>103</v>
      </c>
      <c r="N4" s="63" t="s">
        <v>103</v>
      </c>
      <c r="O4" s="63" t="s">
        <v>103</v>
      </c>
      <c r="P4" s="63" t="s">
        <v>103</v>
      </c>
      <c r="Q4" s="63" t="s">
        <v>103</v>
      </c>
      <c r="R4" s="63" t="s">
        <v>104</v>
      </c>
      <c r="S4" s="63" t="s">
        <v>104</v>
      </c>
      <c r="T4" s="63" t="s">
        <v>104</v>
      </c>
      <c r="U4" s="63" t="s">
        <v>104</v>
      </c>
      <c r="V4" s="63" t="s">
        <v>104</v>
      </c>
      <c r="W4" s="63" t="s">
        <v>104</v>
      </c>
      <c r="X4" s="63" t="s">
        <v>104</v>
      </c>
      <c r="Y4" s="63" t="s">
        <v>104</v>
      </c>
      <c r="Z4" s="63" t="s">
        <v>104</v>
      </c>
      <c r="AA4" s="63" t="s">
        <v>104</v>
      </c>
      <c r="AB4" s="63" t="s">
        <v>104</v>
      </c>
      <c r="AC4" s="63" t="s">
        <v>104</v>
      </c>
      <c r="AD4" s="63" t="s">
        <v>104</v>
      </c>
      <c r="AE4" s="63" t="s">
        <v>104</v>
      </c>
      <c r="AF4" s="63" t="s">
        <v>104</v>
      </c>
      <c r="AG4" s="63" t="s">
        <v>104</v>
      </c>
      <c r="AH4" s="63" t="s">
        <v>104</v>
      </c>
      <c r="AI4" s="63" t="s">
        <v>104</v>
      </c>
      <c r="AJ4" s="63" t="s">
        <v>104</v>
      </c>
      <c r="AK4" s="63" t="s">
        <v>104</v>
      </c>
      <c r="AL4" s="63" t="s">
        <v>104</v>
      </c>
      <c r="AM4" s="63" t="s">
        <v>104</v>
      </c>
      <c r="AN4" s="63" t="s">
        <v>104</v>
      </c>
      <c r="AO4" s="63" t="s">
        <v>104</v>
      </c>
      <c r="AP4" s="63" t="s">
        <v>104</v>
      </c>
      <c r="AQ4" s="63" t="s">
        <v>104</v>
      </c>
      <c r="AR4" s="37">
        <f>IF(B4="","",IF('UC4-frente'!$I$13='UC3-frente'!$I$13,COUNTIFS(D4:AQ4,"|")+'UC3-verso'!AR4,COUNTIFS(D4:AQ4,"|")))</f>
        <v>29</v>
      </c>
      <c r="AS4" s="83">
        <v>30</v>
      </c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 t="s">
        <v>103</v>
      </c>
      <c r="E5" s="63" t="s">
        <v>103</v>
      </c>
      <c r="F5" s="63" t="s">
        <v>103</v>
      </c>
      <c r="G5" s="63" t="s">
        <v>103</v>
      </c>
      <c r="H5" s="63" t="s">
        <v>103</v>
      </c>
      <c r="I5" s="63" t="s">
        <v>104</v>
      </c>
      <c r="J5" s="63" t="s">
        <v>104</v>
      </c>
      <c r="K5" s="63" t="s">
        <v>104</v>
      </c>
      <c r="L5" s="63" t="s">
        <v>103</v>
      </c>
      <c r="M5" s="63" t="s">
        <v>103</v>
      </c>
      <c r="N5" s="63" t="s">
        <v>103</v>
      </c>
      <c r="O5" s="63" t="s">
        <v>103</v>
      </c>
      <c r="P5" s="63" t="s">
        <v>103</v>
      </c>
      <c r="Q5" s="63" t="s">
        <v>103</v>
      </c>
      <c r="R5" s="63" t="s">
        <v>104</v>
      </c>
      <c r="S5" s="63" t="s">
        <v>104</v>
      </c>
      <c r="T5" s="63" t="s">
        <v>104</v>
      </c>
      <c r="U5" s="63" t="s">
        <v>104</v>
      </c>
      <c r="V5" s="63" t="s">
        <v>104</v>
      </c>
      <c r="W5" s="63" t="s">
        <v>104</v>
      </c>
      <c r="X5" s="63" t="s">
        <v>103</v>
      </c>
      <c r="Y5" s="63" t="s">
        <v>103</v>
      </c>
      <c r="Z5" s="63" t="s">
        <v>103</v>
      </c>
      <c r="AA5" s="63" t="s">
        <v>103</v>
      </c>
      <c r="AB5" s="63" t="s">
        <v>103</v>
      </c>
      <c r="AC5" s="63" t="s">
        <v>103</v>
      </c>
      <c r="AD5" s="63" t="s">
        <v>103</v>
      </c>
      <c r="AE5" s="63" t="s">
        <v>103</v>
      </c>
      <c r="AF5" s="63" t="s">
        <v>103</v>
      </c>
      <c r="AG5" s="63" t="s">
        <v>103</v>
      </c>
      <c r="AH5" s="63" t="s">
        <v>103</v>
      </c>
      <c r="AI5" s="63" t="s">
        <v>103</v>
      </c>
      <c r="AJ5" s="63" t="s">
        <v>104</v>
      </c>
      <c r="AK5" s="63" t="s">
        <v>104</v>
      </c>
      <c r="AL5" s="63" t="s">
        <v>104</v>
      </c>
      <c r="AM5" s="63" t="s">
        <v>104</v>
      </c>
      <c r="AN5" s="63" t="s">
        <v>104</v>
      </c>
      <c r="AO5" s="63" t="s">
        <v>104</v>
      </c>
      <c r="AP5" s="63" t="s">
        <v>104</v>
      </c>
      <c r="AQ5" s="63" t="s">
        <v>104</v>
      </c>
      <c r="AR5" s="37">
        <f>IF(B5="","",IF('UC4-frente'!$I$13='UC3-frente'!$I$13,COUNTIFS(D5:AQ5,"|")+'UC3-verso'!AR5,COUNTIFS(D5:AQ5,"|")))</f>
        <v>17</v>
      </c>
      <c r="AS5" s="83">
        <v>60</v>
      </c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 t="s">
        <v>103</v>
      </c>
      <c r="E6" s="63" t="s">
        <v>103</v>
      </c>
      <c r="F6" s="63" t="s">
        <v>103</v>
      </c>
      <c r="G6" s="63" t="s">
        <v>103</v>
      </c>
      <c r="H6" s="63" t="s">
        <v>103</v>
      </c>
      <c r="I6" s="63" t="s">
        <v>104</v>
      </c>
      <c r="J6" s="63" t="s">
        <v>104</v>
      </c>
      <c r="K6" s="63" t="s">
        <v>104</v>
      </c>
      <c r="L6" s="63" t="s">
        <v>103</v>
      </c>
      <c r="M6" s="63" t="s">
        <v>103</v>
      </c>
      <c r="N6" s="63" t="s">
        <v>103</v>
      </c>
      <c r="O6" s="63" t="s">
        <v>103</v>
      </c>
      <c r="P6" s="63" t="s">
        <v>103</v>
      </c>
      <c r="Q6" s="63" t="s">
        <v>103</v>
      </c>
      <c r="R6" s="63" t="s">
        <v>103</v>
      </c>
      <c r="S6" s="63" t="s">
        <v>103</v>
      </c>
      <c r="T6" s="63" t="s">
        <v>103</v>
      </c>
      <c r="U6" s="63" t="s">
        <v>103</v>
      </c>
      <c r="V6" s="63" t="s">
        <v>103</v>
      </c>
      <c r="W6" s="63" t="s">
        <v>103</v>
      </c>
      <c r="X6" s="63" t="s">
        <v>103</v>
      </c>
      <c r="Y6" s="63" t="s">
        <v>103</v>
      </c>
      <c r="Z6" s="63" t="s">
        <v>103</v>
      </c>
      <c r="AA6" s="63" t="s">
        <v>103</v>
      </c>
      <c r="AB6" s="63" t="s">
        <v>103</v>
      </c>
      <c r="AC6" s="63" t="s">
        <v>103</v>
      </c>
      <c r="AD6" s="63" t="s">
        <v>103</v>
      </c>
      <c r="AE6" s="63" t="s">
        <v>103</v>
      </c>
      <c r="AF6" s="63" t="s">
        <v>103</v>
      </c>
      <c r="AG6" s="63" t="s">
        <v>103</v>
      </c>
      <c r="AH6" s="63" t="s">
        <v>103</v>
      </c>
      <c r="AI6" s="63" t="s">
        <v>103</v>
      </c>
      <c r="AJ6" s="63" t="s">
        <v>104</v>
      </c>
      <c r="AK6" s="63" t="s">
        <v>104</v>
      </c>
      <c r="AL6" s="63" t="s">
        <v>104</v>
      </c>
      <c r="AM6" s="63" t="s">
        <v>103</v>
      </c>
      <c r="AN6" s="63" t="s">
        <v>103</v>
      </c>
      <c r="AO6" s="63" t="s">
        <v>103</v>
      </c>
      <c r="AP6" s="63" t="s">
        <v>103</v>
      </c>
      <c r="AQ6" s="63" t="s">
        <v>103</v>
      </c>
      <c r="AR6" s="37">
        <f>IF(B6="","",IF('UC4-frente'!$I$13='UC3-frente'!$I$13,COUNTIFS(D6:AQ6,"|")+'UC3-verso'!AR6,COUNTIFS(D6:AQ6,"|")))</f>
        <v>6</v>
      </c>
      <c r="AS6" s="83">
        <v>90</v>
      </c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 t="s">
        <v>103</v>
      </c>
      <c r="E7" s="63" t="s">
        <v>103</v>
      </c>
      <c r="F7" s="63" t="s">
        <v>103</v>
      </c>
      <c r="G7" s="63" t="s">
        <v>103</v>
      </c>
      <c r="H7" s="63" t="s">
        <v>103</v>
      </c>
      <c r="I7" s="63" t="s">
        <v>103</v>
      </c>
      <c r="J7" s="63" t="s">
        <v>103</v>
      </c>
      <c r="K7" s="63" t="s">
        <v>103</v>
      </c>
      <c r="L7" s="63" t="s">
        <v>103</v>
      </c>
      <c r="M7" s="63" t="s">
        <v>103</v>
      </c>
      <c r="N7" s="63" t="s">
        <v>103</v>
      </c>
      <c r="O7" s="63" t="s">
        <v>103</v>
      </c>
      <c r="P7" s="63" t="s">
        <v>103</v>
      </c>
      <c r="Q7" s="63" t="s">
        <v>103</v>
      </c>
      <c r="R7" s="63" t="s">
        <v>103</v>
      </c>
      <c r="S7" s="63" t="s">
        <v>103</v>
      </c>
      <c r="T7" s="63" t="s">
        <v>103</v>
      </c>
      <c r="U7" s="63" t="s">
        <v>103</v>
      </c>
      <c r="V7" s="63" t="s">
        <v>103</v>
      </c>
      <c r="W7" s="63" t="s">
        <v>103</v>
      </c>
      <c r="X7" s="63" t="s">
        <v>103</v>
      </c>
      <c r="Y7" s="63" t="s">
        <v>103</v>
      </c>
      <c r="Z7" s="63" t="s">
        <v>103</v>
      </c>
      <c r="AA7" s="63" t="s">
        <v>103</v>
      </c>
      <c r="AB7" s="63" t="s">
        <v>103</v>
      </c>
      <c r="AC7" s="63" t="s">
        <v>103</v>
      </c>
      <c r="AD7" s="63" t="s">
        <v>103</v>
      </c>
      <c r="AE7" s="63" t="s">
        <v>103</v>
      </c>
      <c r="AF7" s="63" t="s">
        <v>103</v>
      </c>
      <c r="AG7" s="63" t="s">
        <v>103</v>
      </c>
      <c r="AH7" s="63" t="s">
        <v>103</v>
      </c>
      <c r="AI7" s="63" t="s">
        <v>103</v>
      </c>
      <c r="AJ7" s="63" t="s">
        <v>103</v>
      </c>
      <c r="AK7" s="63" t="s">
        <v>103</v>
      </c>
      <c r="AL7" s="63" t="s">
        <v>103</v>
      </c>
      <c r="AM7" s="63" t="s">
        <v>103</v>
      </c>
      <c r="AN7" s="63" t="s">
        <v>103</v>
      </c>
      <c r="AO7" s="63" t="s">
        <v>103</v>
      </c>
      <c r="AP7" s="63" t="s">
        <v>103</v>
      </c>
      <c r="AQ7" s="63" t="s">
        <v>103</v>
      </c>
      <c r="AR7" s="37">
        <f>IF(B7="","",IF('UC4-frente'!$I$13='UC3-frente'!$I$13,COUNTIFS(D7:AQ7,"|")+'UC3-verso'!AR7,COUNTIFS(D7:AQ7,"|")))</f>
        <v>0</v>
      </c>
      <c r="AS7" s="83">
        <v>70</v>
      </c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 t="s">
        <v>104</v>
      </c>
      <c r="E8" s="63" t="s">
        <v>104</v>
      </c>
      <c r="F8" s="63" t="s">
        <v>104</v>
      </c>
      <c r="G8" s="63" t="s">
        <v>104</v>
      </c>
      <c r="H8" s="63" t="s">
        <v>104</v>
      </c>
      <c r="I8" s="63" t="s">
        <v>104</v>
      </c>
      <c r="J8" s="63" t="s">
        <v>104</v>
      </c>
      <c r="K8" s="63" t="s">
        <v>104</v>
      </c>
      <c r="L8" s="63" t="s">
        <v>104</v>
      </c>
      <c r="M8" s="63" t="s">
        <v>104</v>
      </c>
      <c r="N8" s="63" t="s">
        <v>104</v>
      </c>
      <c r="O8" s="63" t="s">
        <v>104</v>
      </c>
      <c r="P8" s="63" t="s">
        <v>104</v>
      </c>
      <c r="Q8" s="63" t="s">
        <v>104</v>
      </c>
      <c r="R8" s="63" t="s">
        <v>104</v>
      </c>
      <c r="S8" s="63" t="s">
        <v>104</v>
      </c>
      <c r="T8" s="63" t="s">
        <v>104</v>
      </c>
      <c r="U8" s="63" t="s">
        <v>104</v>
      </c>
      <c r="V8" s="63" t="s">
        <v>104</v>
      </c>
      <c r="W8" s="63" t="s">
        <v>104</v>
      </c>
      <c r="X8" s="63" t="s">
        <v>104</v>
      </c>
      <c r="Y8" s="63" t="s">
        <v>104</v>
      </c>
      <c r="Z8" s="63" t="s">
        <v>104</v>
      </c>
      <c r="AA8" s="63" t="s">
        <v>104</v>
      </c>
      <c r="AB8" s="63" t="s">
        <v>104</v>
      </c>
      <c r="AC8" s="63" t="s">
        <v>104</v>
      </c>
      <c r="AD8" s="63" t="s">
        <v>104</v>
      </c>
      <c r="AE8" s="63" t="s">
        <v>104</v>
      </c>
      <c r="AF8" s="63" t="s">
        <v>104</v>
      </c>
      <c r="AG8" s="63" t="s">
        <v>104</v>
      </c>
      <c r="AH8" s="63" t="s">
        <v>104</v>
      </c>
      <c r="AI8" s="63" t="s">
        <v>104</v>
      </c>
      <c r="AJ8" s="63" t="s">
        <v>104</v>
      </c>
      <c r="AK8" s="63" t="s">
        <v>104</v>
      </c>
      <c r="AL8" s="63" t="s">
        <v>104</v>
      </c>
      <c r="AM8" s="63" t="s">
        <v>104</v>
      </c>
      <c r="AN8" s="63" t="s">
        <v>104</v>
      </c>
      <c r="AO8" s="63" t="s">
        <v>104</v>
      </c>
      <c r="AP8" s="63" t="s">
        <v>104</v>
      </c>
      <c r="AQ8" s="63" t="s">
        <v>104</v>
      </c>
      <c r="AR8" s="37">
        <f>IF(B8="","",IF('UC4-frente'!$I$13='UC3-frente'!$I$13,COUNTIFS(D8:AQ8,"|")+'UC3-verso'!AR8,COUNTIFS(D8:AQ8,"|")))</f>
        <v>40</v>
      </c>
      <c r="AS8" s="83">
        <v>0</v>
      </c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 t="s">
        <v>104</v>
      </c>
      <c r="E9" s="63" t="s">
        <v>104</v>
      </c>
      <c r="F9" s="63" t="s">
        <v>103</v>
      </c>
      <c r="G9" s="63" t="s">
        <v>103</v>
      </c>
      <c r="H9" s="63" t="s">
        <v>103</v>
      </c>
      <c r="I9" s="63" t="s">
        <v>104</v>
      </c>
      <c r="J9" s="63" t="s">
        <v>104</v>
      </c>
      <c r="K9" s="63" t="s">
        <v>104</v>
      </c>
      <c r="L9" s="63" t="s">
        <v>103</v>
      </c>
      <c r="M9" s="63" t="s">
        <v>103</v>
      </c>
      <c r="N9" s="63" t="s">
        <v>103</v>
      </c>
      <c r="O9" s="63" t="s">
        <v>104</v>
      </c>
      <c r="P9" s="63" t="s">
        <v>104</v>
      </c>
      <c r="Q9" s="63" t="s">
        <v>104</v>
      </c>
      <c r="R9" s="63" t="s">
        <v>103</v>
      </c>
      <c r="S9" s="63" t="s">
        <v>103</v>
      </c>
      <c r="T9" s="63" t="s">
        <v>103</v>
      </c>
      <c r="U9" s="63" t="s">
        <v>104</v>
      </c>
      <c r="V9" s="63" t="s">
        <v>104</v>
      </c>
      <c r="W9" s="63" t="s">
        <v>104</v>
      </c>
      <c r="X9" s="63" t="s">
        <v>103</v>
      </c>
      <c r="Y9" s="63" t="s">
        <v>103</v>
      </c>
      <c r="Z9" s="63" t="s">
        <v>103</v>
      </c>
      <c r="AA9" s="63" t="s">
        <v>103</v>
      </c>
      <c r="AB9" s="63" t="s">
        <v>103</v>
      </c>
      <c r="AC9" s="63" t="s">
        <v>103</v>
      </c>
      <c r="AD9" s="63" t="s">
        <v>103</v>
      </c>
      <c r="AE9" s="63" t="s">
        <v>103</v>
      </c>
      <c r="AF9" s="63" t="s">
        <v>103</v>
      </c>
      <c r="AG9" s="63" t="s">
        <v>103</v>
      </c>
      <c r="AH9" s="63" t="s">
        <v>103</v>
      </c>
      <c r="AI9" s="63" t="s">
        <v>103</v>
      </c>
      <c r="AJ9" s="63" t="s">
        <v>103</v>
      </c>
      <c r="AK9" s="63" t="s">
        <v>103</v>
      </c>
      <c r="AL9" s="63" t="s">
        <v>103</v>
      </c>
      <c r="AM9" s="63" t="s">
        <v>103</v>
      </c>
      <c r="AN9" s="63" t="s">
        <v>103</v>
      </c>
      <c r="AO9" s="63" t="s">
        <v>103</v>
      </c>
      <c r="AP9" s="63" t="s">
        <v>103</v>
      </c>
      <c r="AQ9" s="63" t="s">
        <v>103</v>
      </c>
      <c r="AR9" s="37">
        <f>IF(B9="","",IF('UC4-frente'!$I$13='UC3-frente'!$I$13,COUNTIFS(D9:AQ9,"|")+'UC3-verso'!AR9,COUNTIFS(D9:AQ9,"|")))</f>
        <v>11</v>
      </c>
      <c r="AS9" s="83">
        <v>70</v>
      </c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 t="s">
        <v>103</v>
      </c>
      <c r="E10" s="63" t="s">
        <v>103</v>
      </c>
      <c r="F10" s="63" t="s">
        <v>103</v>
      </c>
      <c r="G10" s="63" t="s">
        <v>103</v>
      </c>
      <c r="H10" s="63" t="s">
        <v>103</v>
      </c>
      <c r="I10" s="63" t="s">
        <v>103</v>
      </c>
      <c r="J10" s="63" t="s">
        <v>103</v>
      </c>
      <c r="K10" s="63" t="s">
        <v>103</v>
      </c>
      <c r="L10" s="63" t="s">
        <v>103</v>
      </c>
      <c r="M10" s="63" t="s">
        <v>103</v>
      </c>
      <c r="N10" s="63" t="s">
        <v>103</v>
      </c>
      <c r="O10" s="63" t="s">
        <v>103</v>
      </c>
      <c r="P10" s="63" t="s">
        <v>103</v>
      </c>
      <c r="Q10" s="63" t="s">
        <v>103</v>
      </c>
      <c r="R10" s="63" t="s">
        <v>104</v>
      </c>
      <c r="S10" s="63" t="s">
        <v>104</v>
      </c>
      <c r="T10" s="63" t="s">
        <v>104</v>
      </c>
      <c r="U10" s="63" t="s">
        <v>103</v>
      </c>
      <c r="V10" s="63" t="s">
        <v>103</v>
      </c>
      <c r="W10" s="63" t="s">
        <v>103</v>
      </c>
      <c r="X10" s="63" t="s">
        <v>103</v>
      </c>
      <c r="Y10" s="63" t="s">
        <v>103</v>
      </c>
      <c r="Z10" s="63" t="s">
        <v>103</v>
      </c>
      <c r="AA10" s="63" t="s">
        <v>103</v>
      </c>
      <c r="AB10" s="63" t="s">
        <v>103</v>
      </c>
      <c r="AC10" s="63" t="s">
        <v>103</v>
      </c>
      <c r="AD10" s="63" t="s">
        <v>103</v>
      </c>
      <c r="AE10" s="63" t="s">
        <v>103</v>
      </c>
      <c r="AF10" s="63" t="s">
        <v>103</v>
      </c>
      <c r="AG10" s="63" t="s">
        <v>103</v>
      </c>
      <c r="AH10" s="63" t="s">
        <v>103</v>
      </c>
      <c r="AI10" s="63" t="s">
        <v>103</v>
      </c>
      <c r="AJ10" s="63" t="s">
        <v>103</v>
      </c>
      <c r="AK10" s="63" t="s">
        <v>103</v>
      </c>
      <c r="AL10" s="63" t="s">
        <v>103</v>
      </c>
      <c r="AM10" s="63" t="s">
        <v>103</v>
      </c>
      <c r="AN10" s="63" t="s">
        <v>103</v>
      </c>
      <c r="AO10" s="63" t="s">
        <v>103</v>
      </c>
      <c r="AP10" s="63" t="s">
        <v>103</v>
      </c>
      <c r="AQ10" s="63" t="s">
        <v>103</v>
      </c>
      <c r="AR10" s="37">
        <f>IF(B10="","",IF('UC4-frente'!$I$13='UC3-frente'!$I$13,COUNTIFS(D10:AQ10,"|")+'UC3-verso'!AR10,COUNTIFS(D10:AQ10,"|")))</f>
        <v>3</v>
      </c>
      <c r="AS10" s="83">
        <v>90</v>
      </c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 t="s">
        <v>104</v>
      </c>
      <c r="E11" s="63" t="s">
        <v>104</v>
      </c>
      <c r="F11" s="63" t="s">
        <v>104</v>
      </c>
      <c r="G11" s="63" t="s">
        <v>104</v>
      </c>
      <c r="H11" s="63" t="s">
        <v>104</v>
      </c>
      <c r="I11" s="63" t="s">
        <v>104</v>
      </c>
      <c r="J11" s="63" t="s">
        <v>104</v>
      </c>
      <c r="K11" s="63" t="s">
        <v>104</v>
      </c>
      <c r="L11" s="63" t="s">
        <v>104</v>
      </c>
      <c r="M11" s="63" t="s">
        <v>104</v>
      </c>
      <c r="N11" s="63" t="s">
        <v>104</v>
      </c>
      <c r="O11" s="63" t="s">
        <v>104</v>
      </c>
      <c r="P11" s="63" t="s">
        <v>104</v>
      </c>
      <c r="Q11" s="63" t="s">
        <v>104</v>
      </c>
      <c r="R11" s="63" t="s">
        <v>104</v>
      </c>
      <c r="S11" s="63" t="s">
        <v>104</v>
      </c>
      <c r="T11" s="63" t="s">
        <v>104</v>
      </c>
      <c r="U11" s="63" t="s">
        <v>104</v>
      </c>
      <c r="V11" s="63" t="s">
        <v>104</v>
      </c>
      <c r="W11" s="63" t="s">
        <v>104</v>
      </c>
      <c r="X11" s="63" t="s">
        <v>104</v>
      </c>
      <c r="Y11" s="63" t="s">
        <v>104</v>
      </c>
      <c r="Z11" s="63" t="s">
        <v>104</v>
      </c>
      <c r="AA11" s="63" t="s">
        <v>104</v>
      </c>
      <c r="AB11" s="63" t="s">
        <v>104</v>
      </c>
      <c r="AC11" s="63" t="s">
        <v>104</v>
      </c>
      <c r="AD11" s="63" t="s">
        <v>104</v>
      </c>
      <c r="AE11" s="63" t="s">
        <v>104</v>
      </c>
      <c r="AF11" s="63" t="s">
        <v>104</v>
      </c>
      <c r="AG11" s="63" t="s">
        <v>104</v>
      </c>
      <c r="AH11" s="63" t="s">
        <v>104</v>
      </c>
      <c r="AI11" s="63" t="s">
        <v>104</v>
      </c>
      <c r="AJ11" s="63" t="s">
        <v>104</v>
      </c>
      <c r="AK11" s="63" t="s">
        <v>104</v>
      </c>
      <c r="AL11" s="63" t="s">
        <v>104</v>
      </c>
      <c r="AM11" s="63" t="s">
        <v>104</v>
      </c>
      <c r="AN11" s="63" t="s">
        <v>104</v>
      </c>
      <c r="AO11" s="63" t="s">
        <v>104</v>
      </c>
      <c r="AP11" s="63" t="s">
        <v>104</v>
      </c>
      <c r="AQ11" s="63" t="s">
        <v>104</v>
      </c>
      <c r="AR11" s="37">
        <f>IF(B11="","",IF('UC4-frente'!$I$13='UC3-frente'!$I$13,COUNTIFS(D11:AQ11,"|")+'UC3-verso'!AR11,COUNTIFS(D11:AQ11,"|")))</f>
        <v>40</v>
      </c>
      <c r="AS11" s="83">
        <v>0</v>
      </c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 t="s">
        <v>103</v>
      </c>
      <c r="E12" s="63" t="s">
        <v>103</v>
      </c>
      <c r="F12" s="63" t="s">
        <v>103</v>
      </c>
      <c r="G12" s="63" t="s">
        <v>103</v>
      </c>
      <c r="H12" s="63" t="s">
        <v>103</v>
      </c>
      <c r="I12" s="63" t="s">
        <v>104</v>
      </c>
      <c r="J12" s="63" t="s">
        <v>104</v>
      </c>
      <c r="K12" s="63" t="s">
        <v>104</v>
      </c>
      <c r="L12" s="63" t="s">
        <v>103</v>
      </c>
      <c r="M12" s="63" t="s">
        <v>103</v>
      </c>
      <c r="N12" s="63" t="s">
        <v>103</v>
      </c>
      <c r="O12" s="63" t="s">
        <v>103</v>
      </c>
      <c r="P12" s="63" t="s">
        <v>103</v>
      </c>
      <c r="Q12" s="63" t="s">
        <v>103</v>
      </c>
      <c r="R12" s="63" t="s">
        <v>104</v>
      </c>
      <c r="S12" s="63" t="s">
        <v>104</v>
      </c>
      <c r="T12" s="63" t="s">
        <v>104</v>
      </c>
      <c r="U12" s="63" t="s">
        <v>103</v>
      </c>
      <c r="V12" s="63" t="s">
        <v>103</v>
      </c>
      <c r="W12" s="63" t="s">
        <v>103</v>
      </c>
      <c r="X12" s="63" t="s">
        <v>104</v>
      </c>
      <c r="Y12" s="63" t="s">
        <v>104</v>
      </c>
      <c r="Z12" s="63" t="s">
        <v>104</v>
      </c>
      <c r="AA12" s="63" t="s">
        <v>103</v>
      </c>
      <c r="AB12" s="63" t="s">
        <v>103</v>
      </c>
      <c r="AC12" s="63" t="s">
        <v>103</v>
      </c>
      <c r="AD12" s="63" t="s">
        <v>103</v>
      </c>
      <c r="AE12" s="63" t="s">
        <v>103</v>
      </c>
      <c r="AF12" s="63" t="s">
        <v>103</v>
      </c>
      <c r="AG12" s="63" t="s">
        <v>104</v>
      </c>
      <c r="AH12" s="63" t="s">
        <v>104</v>
      </c>
      <c r="AI12" s="63" t="s">
        <v>104</v>
      </c>
      <c r="AJ12" s="63" t="s">
        <v>103</v>
      </c>
      <c r="AK12" s="63" t="s">
        <v>103</v>
      </c>
      <c r="AL12" s="63" t="s">
        <v>103</v>
      </c>
      <c r="AM12" s="63" t="s">
        <v>103</v>
      </c>
      <c r="AN12" s="63" t="s">
        <v>103</v>
      </c>
      <c r="AO12" s="63" t="s">
        <v>103</v>
      </c>
      <c r="AP12" s="63" t="s">
        <v>104</v>
      </c>
      <c r="AQ12" s="63" t="s">
        <v>104</v>
      </c>
      <c r="AR12" s="37">
        <f>IF(B12="","",IF('UC4-frente'!$I$13='UC3-frente'!$I$13,COUNTIFS(D12:AQ12,"|")+'UC3-verso'!AR12,COUNTIFS(D12:AQ12,"|")))</f>
        <v>14</v>
      </c>
      <c r="AS12" s="83">
        <v>70</v>
      </c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 t="s">
        <v>104</v>
      </c>
      <c r="E13" s="63" t="s">
        <v>104</v>
      </c>
      <c r="F13" s="63" t="s">
        <v>104</v>
      </c>
      <c r="G13" s="63" t="s">
        <v>104</v>
      </c>
      <c r="H13" s="63" t="s">
        <v>104</v>
      </c>
      <c r="I13" s="63" t="s">
        <v>104</v>
      </c>
      <c r="J13" s="63" t="s">
        <v>104</v>
      </c>
      <c r="K13" s="63" t="s">
        <v>104</v>
      </c>
      <c r="L13" s="63" t="s">
        <v>104</v>
      </c>
      <c r="M13" s="63" t="s">
        <v>104</v>
      </c>
      <c r="N13" s="63" t="s">
        <v>104</v>
      </c>
      <c r="O13" s="63" t="s">
        <v>104</v>
      </c>
      <c r="P13" s="63" t="s">
        <v>104</v>
      </c>
      <c r="Q13" s="63" t="s">
        <v>104</v>
      </c>
      <c r="R13" s="63" t="s">
        <v>104</v>
      </c>
      <c r="S13" s="63" t="s">
        <v>104</v>
      </c>
      <c r="T13" s="63" t="s">
        <v>104</v>
      </c>
      <c r="U13" s="63" t="s">
        <v>104</v>
      </c>
      <c r="V13" s="63" t="s">
        <v>104</v>
      </c>
      <c r="W13" s="63" t="s">
        <v>104</v>
      </c>
      <c r="X13" s="63" t="s">
        <v>104</v>
      </c>
      <c r="Y13" s="63" t="s">
        <v>104</v>
      </c>
      <c r="Z13" s="63" t="s">
        <v>104</v>
      </c>
      <c r="AA13" s="63" t="s">
        <v>104</v>
      </c>
      <c r="AB13" s="63" t="s">
        <v>104</v>
      </c>
      <c r="AC13" s="63" t="s">
        <v>104</v>
      </c>
      <c r="AD13" s="63" t="s">
        <v>104</v>
      </c>
      <c r="AE13" s="63" t="s">
        <v>104</v>
      </c>
      <c r="AF13" s="63" t="s">
        <v>104</v>
      </c>
      <c r="AG13" s="63" t="s">
        <v>104</v>
      </c>
      <c r="AH13" s="63" t="s">
        <v>104</v>
      </c>
      <c r="AI13" s="63" t="s">
        <v>104</v>
      </c>
      <c r="AJ13" s="63" t="s">
        <v>104</v>
      </c>
      <c r="AK13" s="63" t="s">
        <v>104</v>
      </c>
      <c r="AL13" s="63" t="s">
        <v>104</v>
      </c>
      <c r="AM13" s="63" t="s">
        <v>104</v>
      </c>
      <c r="AN13" s="63" t="s">
        <v>104</v>
      </c>
      <c r="AO13" s="63" t="s">
        <v>104</v>
      </c>
      <c r="AP13" s="63" t="s">
        <v>104</v>
      </c>
      <c r="AQ13" s="63" t="s">
        <v>104</v>
      </c>
      <c r="AR13" s="37">
        <f>IF(B13="","",IF('UC4-frente'!$I$13='UC3-frente'!$I$13,COUNTIFS(D13:AQ13,"|")+'UC3-verso'!AR13,COUNTIFS(D13:AQ13,"|")))</f>
        <v>40</v>
      </c>
      <c r="AS13" s="83">
        <v>0</v>
      </c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 t="s">
        <v>103</v>
      </c>
      <c r="E14" s="63" t="s">
        <v>103</v>
      </c>
      <c r="F14" s="63" t="s">
        <v>103</v>
      </c>
      <c r="G14" s="63" t="s">
        <v>103</v>
      </c>
      <c r="H14" s="63" t="s">
        <v>103</v>
      </c>
      <c r="I14" s="63" t="s">
        <v>103</v>
      </c>
      <c r="J14" s="63" t="s">
        <v>103</v>
      </c>
      <c r="K14" s="63" t="s">
        <v>103</v>
      </c>
      <c r="L14" s="63" t="s">
        <v>103</v>
      </c>
      <c r="M14" s="63" t="s">
        <v>103</v>
      </c>
      <c r="N14" s="63" t="s">
        <v>103</v>
      </c>
      <c r="O14" s="63" t="s">
        <v>104</v>
      </c>
      <c r="P14" s="63" t="s">
        <v>104</v>
      </c>
      <c r="Q14" s="63" t="s">
        <v>104</v>
      </c>
      <c r="R14" s="63" t="s">
        <v>103</v>
      </c>
      <c r="S14" s="63" t="s">
        <v>103</v>
      </c>
      <c r="T14" s="63" t="s">
        <v>103</v>
      </c>
      <c r="U14" s="63" t="s">
        <v>103</v>
      </c>
      <c r="V14" s="63" t="s">
        <v>103</v>
      </c>
      <c r="W14" s="63" t="s">
        <v>103</v>
      </c>
      <c r="X14" s="63" t="s">
        <v>103</v>
      </c>
      <c r="Y14" s="63" t="s">
        <v>103</v>
      </c>
      <c r="Z14" s="63" t="s">
        <v>103</v>
      </c>
      <c r="AA14" s="63" t="s">
        <v>103</v>
      </c>
      <c r="AB14" s="63" t="s">
        <v>103</v>
      </c>
      <c r="AC14" s="63" t="s">
        <v>103</v>
      </c>
      <c r="AD14" s="63" t="s">
        <v>103</v>
      </c>
      <c r="AE14" s="63" t="s">
        <v>103</v>
      </c>
      <c r="AF14" s="63" t="s">
        <v>103</v>
      </c>
      <c r="AG14" s="63" t="s">
        <v>103</v>
      </c>
      <c r="AH14" s="63" t="s">
        <v>103</v>
      </c>
      <c r="AI14" s="63" t="s">
        <v>103</v>
      </c>
      <c r="AJ14" s="63" t="s">
        <v>103</v>
      </c>
      <c r="AK14" s="63" t="s">
        <v>103</v>
      </c>
      <c r="AL14" s="63" t="s">
        <v>103</v>
      </c>
      <c r="AM14" s="63" t="s">
        <v>103</v>
      </c>
      <c r="AN14" s="63" t="s">
        <v>103</v>
      </c>
      <c r="AO14" s="63" t="s">
        <v>103</v>
      </c>
      <c r="AP14" s="63" t="s">
        <v>103</v>
      </c>
      <c r="AQ14" s="63" t="s">
        <v>103</v>
      </c>
      <c r="AR14" s="37">
        <f>IF(B14="","",IF('UC4-frente'!$I$13='UC3-frente'!$I$13,COUNTIFS(D14:AQ14,"|")+'UC3-verso'!AR14,COUNTIFS(D14:AQ14,"|")))</f>
        <v>3</v>
      </c>
      <c r="AS14" s="83">
        <v>90</v>
      </c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 t="s">
        <v>103</v>
      </c>
      <c r="E15" s="63" t="s">
        <v>103</v>
      </c>
      <c r="F15" s="63" t="s">
        <v>103</v>
      </c>
      <c r="G15" s="63" t="s">
        <v>103</v>
      </c>
      <c r="H15" s="63" t="s">
        <v>103</v>
      </c>
      <c r="I15" s="63" t="s">
        <v>104</v>
      </c>
      <c r="J15" s="63" t="s">
        <v>104</v>
      </c>
      <c r="K15" s="63" t="s">
        <v>104</v>
      </c>
      <c r="L15" s="63" t="s">
        <v>103</v>
      </c>
      <c r="M15" s="63" t="s">
        <v>103</v>
      </c>
      <c r="N15" s="63" t="s">
        <v>103</v>
      </c>
      <c r="O15" s="63" t="s">
        <v>104</v>
      </c>
      <c r="P15" s="63" t="s">
        <v>104</v>
      </c>
      <c r="Q15" s="63" t="s">
        <v>104</v>
      </c>
      <c r="R15" s="63" t="s">
        <v>103</v>
      </c>
      <c r="S15" s="63" t="s">
        <v>103</v>
      </c>
      <c r="T15" s="63" t="s">
        <v>103</v>
      </c>
      <c r="U15" s="63" t="s">
        <v>103</v>
      </c>
      <c r="V15" s="63" t="s">
        <v>103</v>
      </c>
      <c r="W15" s="63" t="s">
        <v>103</v>
      </c>
      <c r="X15" s="63" t="s">
        <v>103</v>
      </c>
      <c r="Y15" s="63" t="s">
        <v>103</v>
      </c>
      <c r="Z15" s="63" t="s">
        <v>103</v>
      </c>
      <c r="AA15" s="63" t="s">
        <v>103</v>
      </c>
      <c r="AB15" s="63" t="s">
        <v>103</v>
      </c>
      <c r="AC15" s="63" t="s">
        <v>103</v>
      </c>
      <c r="AD15" s="63" t="s">
        <v>103</v>
      </c>
      <c r="AE15" s="63" t="s">
        <v>103</v>
      </c>
      <c r="AF15" s="63" t="s">
        <v>103</v>
      </c>
      <c r="AG15" s="63" t="s">
        <v>103</v>
      </c>
      <c r="AH15" s="63" t="s">
        <v>103</v>
      </c>
      <c r="AI15" s="63" t="s">
        <v>103</v>
      </c>
      <c r="AJ15" s="63" t="s">
        <v>103</v>
      </c>
      <c r="AK15" s="63" t="s">
        <v>103</v>
      </c>
      <c r="AL15" s="63" t="s">
        <v>103</v>
      </c>
      <c r="AM15" s="63" t="s">
        <v>103</v>
      </c>
      <c r="AN15" s="63" t="s">
        <v>103</v>
      </c>
      <c r="AO15" s="63" t="s">
        <v>103</v>
      </c>
      <c r="AP15" s="63" t="s">
        <v>103</v>
      </c>
      <c r="AQ15" s="63" t="s">
        <v>103</v>
      </c>
      <c r="AR15" s="37">
        <f>IF(B15="","",IF('UC4-frente'!$I$13='UC3-frente'!$I$13,COUNTIFS(D15:AQ15,"|")+'UC3-verso'!AR15,COUNTIFS(D15:AQ15,"|")))</f>
        <v>6</v>
      </c>
      <c r="AS15" s="83">
        <v>90</v>
      </c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 t="s">
        <v>103</v>
      </c>
      <c r="E16" s="63" t="s">
        <v>103</v>
      </c>
      <c r="F16" s="63" t="s">
        <v>103</v>
      </c>
      <c r="G16" s="63" t="s">
        <v>103</v>
      </c>
      <c r="H16" s="63" t="s">
        <v>103</v>
      </c>
      <c r="I16" s="63" t="s">
        <v>103</v>
      </c>
      <c r="J16" s="63" t="s">
        <v>103</v>
      </c>
      <c r="K16" s="63" t="s">
        <v>103</v>
      </c>
      <c r="L16" s="63" t="s">
        <v>103</v>
      </c>
      <c r="M16" s="63" t="s">
        <v>103</v>
      </c>
      <c r="N16" s="63" t="s">
        <v>103</v>
      </c>
      <c r="O16" s="63" t="s">
        <v>103</v>
      </c>
      <c r="P16" s="63" t="s">
        <v>103</v>
      </c>
      <c r="Q16" s="63" t="s">
        <v>103</v>
      </c>
      <c r="R16" s="63" t="s">
        <v>103</v>
      </c>
      <c r="S16" s="63" t="s">
        <v>103</v>
      </c>
      <c r="T16" s="63" t="s">
        <v>103</v>
      </c>
      <c r="U16" s="63" t="s">
        <v>103</v>
      </c>
      <c r="V16" s="63" t="s">
        <v>103</v>
      </c>
      <c r="W16" s="63" t="s">
        <v>103</v>
      </c>
      <c r="X16" s="63" t="s">
        <v>103</v>
      </c>
      <c r="Y16" s="63" t="s">
        <v>103</v>
      </c>
      <c r="Z16" s="63" t="s">
        <v>103</v>
      </c>
      <c r="AA16" s="63" t="s">
        <v>103</v>
      </c>
      <c r="AB16" s="63" t="s">
        <v>103</v>
      </c>
      <c r="AC16" s="63" t="s">
        <v>103</v>
      </c>
      <c r="AD16" s="63" t="s">
        <v>103</v>
      </c>
      <c r="AE16" s="63" t="s">
        <v>103</v>
      </c>
      <c r="AF16" s="63" t="s">
        <v>103</v>
      </c>
      <c r="AG16" s="63" t="s">
        <v>103</v>
      </c>
      <c r="AH16" s="63" t="s">
        <v>103</v>
      </c>
      <c r="AI16" s="63" t="s">
        <v>103</v>
      </c>
      <c r="AJ16" s="63" t="s">
        <v>104</v>
      </c>
      <c r="AK16" s="63" t="s">
        <v>104</v>
      </c>
      <c r="AL16" s="63" t="s">
        <v>104</v>
      </c>
      <c r="AM16" s="63" t="s">
        <v>103</v>
      </c>
      <c r="AN16" s="63" t="s">
        <v>103</v>
      </c>
      <c r="AO16" s="63" t="s">
        <v>103</v>
      </c>
      <c r="AP16" s="63" t="s">
        <v>104</v>
      </c>
      <c r="AQ16" s="63" t="s">
        <v>104</v>
      </c>
      <c r="AR16" s="37">
        <f>IF(B16="","",IF('UC4-frente'!$I$13='UC3-frente'!$I$13,COUNTIFS(D16:AQ16,"|")+'UC3-verso'!AR16,COUNTIFS(D16:AQ16,"|")))</f>
        <v>5</v>
      </c>
      <c r="AS16" s="83">
        <v>90</v>
      </c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IF(B17="","",IF('UC4-frente'!$I$13='UC3-frente'!$I$13,COUNTIFS(D17:AQ17,"|")+'UC3-verso'!AR17,COUNTIFS(D17:AQ17,"|")))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IF(B18="","",IF('UC4-frente'!$I$13='UC3-frente'!$I$13,COUNTIFS(D18:AQ18,"|")+'UC3-verso'!AR18,COUNTIFS(D18:AQ18,"|")))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IF(B19="","",IF('UC4-frente'!$I$13='UC3-frente'!$I$13,COUNTIFS(D19:AQ19,"|")+'UC3-verso'!AR19,COUNTIFS(D19:AQ19,"|")))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IF(B20="","",IF('UC4-frente'!$I$13='UC3-frente'!$I$13,COUNTIFS(D20:AQ20,"|")+'UC3-verso'!AR20,COUNTIFS(D20:AQ20,"|")))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IF(B21="","",IF('UC4-frente'!$I$13='UC3-frente'!$I$13,COUNTIFS(D21:AQ21,"|")+'UC3-verso'!AR21,COUNTIFS(D21:AQ21,"|")))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IF(B22="","",IF('UC4-frente'!$I$13='UC3-frente'!$I$13,COUNTIFS(D22:AQ22,"|")+'UC3-verso'!AR22,COUNTIFS(D22:AQ22,"|")))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IF(B23="","",IF('UC4-frente'!$I$13='UC3-frente'!$I$13,COUNTIFS(D23:AQ23,"|")+'UC3-verso'!AR23,COUNTIFS(D23:AQ23,"|")))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4"/>
      <c r="AJ24" s="52"/>
      <c r="AK24" s="52"/>
      <c r="AL24" s="52"/>
      <c r="AM24" s="53"/>
      <c r="AN24" s="75"/>
      <c r="AO24" s="69"/>
      <c r="AP24" s="69"/>
      <c r="AQ24" s="69"/>
      <c r="AR24" s="37" t="str">
        <f>IF(B24="","",IF('UC4-frente'!$I$13='UC3-frente'!$I$13,COUNTIFS(D24:AQ24,"|")+'UC3-verso'!AR24,COUNTIFS(D24:AQ24,"|")))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75"/>
      <c r="AO25" s="69"/>
      <c r="AP25" s="69"/>
      <c r="AQ25" s="69"/>
      <c r="AR25" s="37" t="str">
        <f>IF(B25="","",IF('UC4-frente'!$I$13='UC3-frente'!$I$13,COUNTIFS(D25:AQ25,"|")+'UC3-verso'!AR25,COUNTIFS(D25:AQ25,"|")))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4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IF(B26="","",IF('UC4-frente'!$I$13='UC3-frente'!$I$13,COUNTIFS(D26:AQ26,"|")+'UC3-verso'!AR26,COUNTIFS(D26:AQ26,"|")))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75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75"/>
      <c r="AO27" s="75"/>
      <c r="AP27" s="69"/>
      <c r="AQ27" s="75"/>
      <c r="AR27" s="37" t="str">
        <f>IF(B27="","",IF('UC4-frente'!$I$13='UC3-frente'!$I$13,COUNTIFS(D27:AQ27,"|")+'UC3-verso'!AR27,COUNTIFS(D27:AQ27,"|")))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IF(B28="","",IF('UC4-frente'!$I$13='UC3-frente'!$I$13,COUNTIFS(D28:AQ28,"|")+'UC3-verso'!AR28,COUNTIFS(D28:AQ28,"|")))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4"/>
      <c r="AJ29" s="52"/>
      <c r="AK29" s="52"/>
      <c r="AL29" s="52"/>
      <c r="AM29" s="53"/>
      <c r="AN29" s="75"/>
      <c r="AO29" s="69"/>
      <c r="AP29" s="69"/>
      <c r="AQ29" s="69"/>
      <c r="AR29" s="37" t="str">
        <f>IF(B29="","",IF('UC4-frente'!$I$13='UC3-frente'!$I$13,COUNTIFS(D29:AQ29,"|")+'UC3-verso'!AR29,COUNTIFS(D29:AQ29,"|")))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4"/>
      <c r="AJ30" s="55"/>
      <c r="AK30" s="55"/>
      <c r="AL30" s="55"/>
      <c r="AM30" s="56"/>
      <c r="AN30" s="75"/>
      <c r="AO30" s="69"/>
      <c r="AP30" s="69"/>
      <c r="AQ30" s="69"/>
      <c r="AR30" s="37" t="str">
        <f>IF(B30="","",IF('UC4-frente'!$I$13='UC3-frente'!$I$13,COUNTIFS(D30:AQ30,"|")+'UC3-verso'!AR30,COUNTIFS(D30:AQ30,"|")))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4"/>
      <c r="AJ31" s="52"/>
      <c r="AK31" s="52"/>
      <c r="AL31" s="52"/>
      <c r="AM31" s="53"/>
      <c r="AN31" s="75"/>
      <c r="AO31" s="69"/>
      <c r="AP31" s="69"/>
      <c r="AQ31" s="69"/>
      <c r="AR31" s="37" t="str">
        <f>IF(B31="","",IF('UC4-frente'!$I$13='UC3-frente'!$I$13,COUNTIFS(D31:AQ31,"|")+'UC3-verso'!AR31,COUNTIFS(D31:AQ31,"|")))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75"/>
      <c r="AO32" s="69"/>
      <c r="AP32" s="69"/>
      <c r="AQ32" s="69"/>
      <c r="AR32" s="37" t="str">
        <f>IF(B32="","",IF('UC4-frente'!$I$13='UC3-frente'!$I$13,COUNTIFS(D32:AQ32,"|")+'UC3-verso'!AR32,COUNTIFS(D32:AQ32,"|")))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4"/>
      <c r="AJ33" s="52"/>
      <c r="AK33" s="52"/>
      <c r="AL33" s="52"/>
      <c r="AM33" s="53"/>
      <c r="AN33" s="75"/>
      <c r="AO33" s="69"/>
      <c r="AP33" s="69"/>
      <c r="AQ33" s="69"/>
      <c r="AR33" s="37" t="str">
        <f>IF(B33="","",IF('UC4-frente'!$I$13='UC3-frente'!$I$13,COUNTIFS(D33:AQ33,"|")+'UC3-verso'!AR33,COUNTIFS(D33:AQ33,"|")))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75"/>
      <c r="AO34" s="69"/>
      <c r="AP34" s="69"/>
      <c r="AQ34" s="69"/>
      <c r="AR34" s="37" t="str">
        <f>IF(B34="","",IF('UC4-frente'!$I$13='UC3-frente'!$I$13,COUNTIFS(D34:AQ34,"|")+'UC3-verso'!AR34,COUNTIFS(D34:AQ34,"|")))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04"/>
      <c r="D36" s="10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04"/>
      <c r="B38" s="104"/>
      <c r="C38" s="104"/>
      <c r="D38" s="10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04"/>
      <c r="B40" s="104"/>
      <c r="C40" s="104"/>
      <c r="D40" s="10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D1:AQ34 AS3:AS34" name="Intervalo1"/>
  </protectedRanges>
  <mergeCells count="53">
    <mergeCell ref="B19:C19"/>
    <mergeCell ref="B20:C20"/>
    <mergeCell ref="B21:C21"/>
    <mergeCell ref="A41:C41"/>
    <mergeCell ref="A43:P43"/>
    <mergeCell ref="A39:D39"/>
    <mergeCell ref="M39:X39"/>
    <mergeCell ref="M40:X40"/>
    <mergeCell ref="B27:C27"/>
    <mergeCell ref="B28:C28"/>
    <mergeCell ref="B29:C29"/>
    <mergeCell ref="A44:AE45"/>
    <mergeCell ref="B30:C30"/>
    <mergeCell ref="AA39:AL39"/>
    <mergeCell ref="AA40:AL40"/>
    <mergeCell ref="B22:C22"/>
    <mergeCell ref="B23:C23"/>
    <mergeCell ref="B24:C24"/>
    <mergeCell ref="B25:C25"/>
    <mergeCell ref="B26:C26"/>
    <mergeCell ref="AP40:AU40"/>
    <mergeCell ref="B31:C31"/>
    <mergeCell ref="B32:C32"/>
    <mergeCell ref="B33:C33"/>
    <mergeCell ref="B34:C34"/>
    <mergeCell ref="A36:B36"/>
    <mergeCell ref="A37:D37"/>
    <mergeCell ref="AP39:AU39"/>
    <mergeCell ref="B18:C18"/>
    <mergeCell ref="AT1:AT2"/>
    <mergeCell ref="AU1:AU2"/>
    <mergeCell ref="B3:C3"/>
    <mergeCell ref="B4:C4"/>
    <mergeCell ref="B5:C5"/>
    <mergeCell ref="B13:C13"/>
    <mergeCell ref="B14:C14"/>
    <mergeCell ref="B15:C15"/>
    <mergeCell ref="B16:C16"/>
    <mergeCell ref="B17:C17"/>
    <mergeCell ref="A1:A2"/>
    <mergeCell ref="B1:B2"/>
    <mergeCell ref="AR1:AR2"/>
    <mergeCell ref="AS1:AS2"/>
    <mergeCell ref="B12:C12"/>
    <mergeCell ref="B6:C6"/>
    <mergeCell ref="B7:C7"/>
    <mergeCell ref="B8:C8"/>
    <mergeCell ref="B9:C9"/>
    <mergeCell ref="B10:C10"/>
    <mergeCell ref="B11:C11"/>
    <mergeCell ref="D1:N1"/>
    <mergeCell ref="O1:AI1"/>
    <mergeCell ref="AJ1:AQ1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topLeftCell="A19" zoomScaleNormal="100" workbookViewId="0">
      <selection activeCell="C30" sqref="C30:F30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116">
        <v>44538</v>
      </c>
      <c r="B3" s="83">
        <v>1</v>
      </c>
      <c r="C3" s="245" t="s">
        <v>128</v>
      </c>
      <c r="D3" s="245"/>
      <c r="E3" s="245"/>
      <c r="F3" s="245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116">
        <v>44539</v>
      </c>
      <c r="B4" s="83">
        <v>3</v>
      </c>
      <c r="C4" s="245" t="s">
        <v>128</v>
      </c>
      <c r="D4" s="245"/>
      <c r="E4" s="245"/>
      <c r="F4" s="245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 t="s">
        <v>129</v>
      </c>
      <c r="D5" s="245"/>
      <c r="E5" s="245"/>
      <c r="F5" s="245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>
        <v>44545</v>
      </c>
      <c r="B6" s="14">
        <v>3</v>
      </c>
      <c r="C6" s="245" t="s">
        <v>128</v>
      </c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 t="s">
        <v>132</v>
      </c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119">
        <v>44546</v>
      </c>
      <c r="B8" s="14">
        <v>3</v>
      </c>
      <c r="C8" s="245" t="s">
        <v>128</v>
      </c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119"/>
      <c r="B9" s="14"/>
      <c r="C9" s="245" t="s">
        <v>132</v>
      </c>
      <c r="D9" s="129"/>
      <c r="E9" s="129"/>
      <c r="F9" s="129"/>
      <c r="G9" s="4"/>
      <c r="H9" s="5"/>
      <c r="I9" s="100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>
        <v>44552</v>
      </c>
      <c r="B10" s="14">
        <v>3</v>
      </c>
      <c r="C10" s="269" t="s">
        <v>128</v>
      </c>
      <c r="D10" s="270"/>
      <c r="E10" s="270"/>
      <c r="F10" s="270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45" t="s">
        <v>132</v>
      </c>
      <c r="D11" s="129"/>
      <c r="E11" s="129"/>
      <c r="F11" s="129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>
        <v>44566</v>
      </c>
      <c r="B12" s="14">
        <v>3</v>
      </c>
      <c r="C12" s="245" t="s">
        <v>128</v>
      </c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 t="s">
        <v>132</v>
      </c>
      <c r="D13" s="129"/>
      <c r="E13" s="129"/>
      <c r="F13" s="129"/>
      <c r="G13" s="4"/>
      <c r="H13" s="5"/>
      <c r="I13" s="178" t="s">
        <v>75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>
        <v>44567</v>
      </c>
      <c r="B14" s="14">
        <v>3</v>
      </c>
      <c r="C14" s="245" t="s">
        <v>128</v>
      </c>
      <c r="D14" s="129"/>
      <c r="E14" s="129"/>
      <c r="F14" s="129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 t="s">
        <v>132</v>
      </c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99" t="s">
        <v>133</v>
      </c>
      <c r="B16" s="14">
        <v>3</v>
      </c>
      <c r="C16" s="245" t="s">
        <v>128</v>
      </c>
      <c r="D16" s="129"/>
      <c r="E16" s="129"/>
      <c r="F16" s="129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 t="s">
        <v>134</v>
      </c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>
        <v>44574</v>
      </c>
      <c r="B18" s="14">
        <v>3</v>
      </c>
      <c r="C18" s="245" t="s">
        <v>128</v>
      </c>
      <c r="D18" s="129"/>
      <c r="E18" s="129"/>
      <c r="F18" s="129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 t="s">
        <v>134</v>
      </c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>
        <v>44580</v>
      </c>
      <c r="B20" s="14">
        <v>3</v>
      </c>
      <c r="C20" s="245" t="s">
        <v>128</v>
      </c>
      <c r="D20" s="129"/>
      <c r="E20" s="129"/>
      <c r="F20" s="129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245" t="s">
        <v>134</v>
      </c>
      <c r="D21" s="129"/>
      <c r="E21" s="129"/>
      <c r="F21" s="129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>
        <v>44581</v>
      </c>
      <c r="B22" s="14">
        <v>3</v>
      </c>
      <c r="C22" s="245" t="s">
        <v>128</v>
      </c>
      <c r="D22" s="129"/>
      <c r="E22" s="129"/>
      <c r="F22" s="129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245" t="s">
        <v>134</v>
      </c>
      <c r="D23" s="129"/>
      <c r="E23" s="129"/>
      <c r="F23" s="129"/>
      <c r="G23" s="4"/>
      <c r="H23" s="5"/>
      <c r="I23" s="187">
        <f>VLOOKUP(I13,DADOS_GERAIS!C52:D61,2,0)</f>
        <v>50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>
        <v>44594</v>
      </c>
      <c r="B24" s="14">
        <v>3</v>
      </c>
      <c r="C24" s="255" t="s">
        <v>135</v>
      </c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255" t="s">
        <v>136</v>
      </c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>
        <v>44595</v>
      </c>
      <c r="B26" s="14">
        <v>3</v>
      </c>
      <c r="C26" s="255" t="s">
        <v>135</v>
      </c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255" t="s">
        <v>136</v>
      </c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01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>
        <f>IF(A3="","___/___/___",A3)</f>
        <v>44538</v>
      </c>
      <c r="J45" s="226"/>
      <c r="K45" s="227"/>
      <c r="L45" s="225" t="str">
        <f>IF(A3="","___/___/___",IF(I13='UC6-frente'!I13,'UC6-frente'!L45,MAX(A3:A45)))</f>
        <v>___/___/___</v>
      </c>
      <c r="M45" s="227"/>
      <c r="N45" s="137">
        <f>IF(A3="","",IF(I13='UC4-frente'!I13,SUM(B3:B45)+'UC4-frente'!N45,SUM(B3:B45)))</f>
        <v>37</v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M40:M41"/>
    <mergeCell ref="N40:P41"/>
    <mergeCell ref="A1:A2"/>
    <mergeCell ref="B1:B2"/>
    <mergeCell ref="C1:F2"/>
    <mergeCell ref="C3:F3"/>
    <mergeCell ref="C4:F4"/>
    <mergeCell ref="C12:F12"/>
    <mergeCell ref="I12:P12"/>
    <mergeCell ref="I5:P5"/>
    <mergeCell ref="C6:F6"/>
    <mergeCell ref="I6:P6"/>
    <mergeCell ref="C7:F7"/>
    <mergeCell ref="C8:F8"/>
    <mergeCell ref="I8:J8"/>
    <mergeCell ref="K8:L8"/>
    <mergeCell ref="M8:N8"/>
    <mergeCell ref="C5:F5"/>
    <mergeCell ref="C9:F9"/>
    <mergeCell ref="C10:F10"/>
    <mergeCell ref="I10:P10"/>
    <mergeCell ref="C11:F11"/>
    <mergeCell ref="L1:P1"/>
    <mergeCell ref="L2:P2"/>
    <mergeCell ref="L3:P3"/>
    <mergeCell ref="I11:P11"/>
    <mergeCell ref="C13:F13"/>
    <mergeCell ref="I13:P13"/>
    <mergeCell ref="M9:N9"/>
    <mergeCell ref="C14:F14"/>
    <mergeCell ref="I14:P14"/>
    <mergeCell ref="C15:F15"/>
    <mergeCell ref="C16:F16"/>
    <mergeCell ref="C17:F17"/>
    <mergeCell ref="C18:F18"/>
    <mergeCell ref="I18:J18"/>
    <mergeCell ref="I15:P16"/>
    <mergeCell ref="I17:J17"/>
    <mergeCell ref="K17:P17"/>
    <mergeCell ref="K18:L18"/>
    <mergeCell ref="M18:O18"/>
    <mergeCell ref="C19:F19"/>
    <mergeCell ref="I19:J19"/>
    <mergeCell ref="K19:L19"/>
    <mergeCell ref="M19:O19"/>
    <mergeCell ref="C20:F20"/>
    <mergeCell ref="I20:J20"/>
    <mergeCell ref="K20:L20"/>
    <mergeCell ref="C21:F21"/>
    <mergeCell ref="I21:J21"/>
    <mergeCell ref="M20:O20"/>
    <mergeCell ref="K21:P21"/>
    <mergeCell ref="C22:F22"/>
    <mergeCell ref="C23:F23"/>
    <mergeCell ref="I23:J23"/>
    <mergeCell ref="K23:P23"/>
    <mergeCell ref="C32:F32"/>
    <mergeCell ref="C24:F24"/>
    <mergeCell ref="C25:F25"/>
    <mergeCell ref="C26:F26"/>
    <mergeCell ref="C27:F27"/>
    <mergeCell ref="C28:F28"/>
    <mergeCell ref="C29:F29"/>
    <mergeCell ref="C30:F30"/>
    <mergeCell ref="C31:F31"/>
    <mergeCell ref="I24:P24"/>
    <mergeCell ref="I25:P28"/>
    <mergeCell ref="I29:P30"/>
    <mergeCell ref="I31:K31"/>
    <mergeCell ref="N31:P31"/>
    <mergeCell ref="L32:L33"/>
    <mergeCell ref="M32:M33"/>
    <mergeCell ref="N32:P33"/>
    <mergeCell ref="K22:P22"/>
    <mergeCell ref="C33:F33"/>
    <mergeCell ref="I33:K33"/>
    <mergeCell ref="C34:F34"/>
    <mergeCell ref="C35:F35"/>
    <mergeCell ref="I35:K35"/>
    <mergeCell ref="L34:L35"/>
    <mergeCell ref="M34:M35"/>
    <mergeCell ref="N34:P35"/>
    <mergeCell ref="C36:F36"/>
    <mergeCell ref="L36:L37"/>
    <mergeCell ref="C37:F37"/>
    <mergeCell ref="I37:K37"/>
    <mergeCell ref="M36:M37"/>
    <mergeCell ref="N36:P37"/>
    <mergeCell ref="C44:F44"/>
    <mergeCell ref="I44:K44"/>
    <mergeCell ref="L44:M44"/>
    <mergeCell ref="N44:P44"/>
    <mergeCell ref="C45:F45"/>
    <mergeCell ref="I45:K45"/>
    <mergeCell ref="L45:M45"/>
    <mergeCell ref="N45:P45"/>
    <mergeCell ref="C38:F38"/>
    <mergeCell ref="L38:L39"/>
    <mergeCell ref="C39:F39"/>
    <mergeCell ref="I39:K39"/>
    <mergeCell ref="C40:F40"/>
    <mergeCell ref="L40:L41"/>
    <mergeCell ref="C41:F41"/>
    <mergeCell ref="I41:K41"/>
    <mergeCell ref="C42:F42"/>
    <mergeCell ref="L42:L43"/>
    <mergeCell ref="C43:F43"/>
    <mergeCell ref="I43:K43"/>
    <mergeCell ref="M42:M43"/>
    <mergeCell ref="N42:P43"/>
    <mergeCell ref="M38:M39"/>
    <mergeCell ref="N38:P39"/>
  </mergeCells>
  <conditionalFormatting sqref="I6:P6 O9:P9 I18 I11 I21 I23 K23 I15">
    <cfRule type="cellIs" dxfId="11" priority="2" operator="equal">
      <formula>0</formula>
    </cfRule>
  </conditionalFormatting>
  <conditionalFormatting sqref="I13">
    <cfRule type="cellIs" dxfId="10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3313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3313" r:id="rId4"/>
      </mc:Fallback>
    </mc:AlternateContent>
    <mc:AlternateContent xmlns:mc="http://schemas.openxmlformats.org/markup-compatibility/2006">
      <mc:Choice Requires="x14">
        <oleObject progId="MSPhotoEd.3" shapeId="13314" r:id="rId6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3314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topLeftCell="A4" zoomScale="115" zoomScaleNormal="115" workbookViewId="0">
      <selection activeCell="AN2" sqref="AN2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254" t="s">
        <v>127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60" t="s">
        <v>130</v>
      </c>
      <c r="R1" s="261"/>
      <c r="S1" s="261"/>
      <c r="T1" s="261"/>
      <c r="U1" s="261"/>
      <c r="V1" s="261"/>
      <c r="W1" s="261"/>
      <c r="X1" s="261"/>
      <c r="Y1" s="261"/>
      <c r="Z1" s="261"/>
      <c r="AA1" s="261"/>
      <c r="AB1" s="261"/>
      <c r="AC1" s="261"/>
      <c r="AD1" s="261"/>
      <c r="AE1" s="261"/>
      <c r="AF1" s="261"/>
      <c r="AG1" s="261"/>
      <c r="AH1" s="262"/>
      <c r="AI1" s="76" t="s">
        <v>137</v>
      </c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>
        <f>DAY('UC5-frente'!A3)</f>
        <v>8</v>
      </c>
      <c r="E2" s="9">
        <v>9</v>
      </c>
      <c r="F2" s="9">
        <v>9</v>
      </c>
      <c r="G2" s="9">
        <v>9</v>
      </c>
      <c r="H2" s="9">
        <v>15</v>
      </c>
      <c r="I2" s="9">
        <v>15</v>
      </c>
      <c r="J2" s="9">
        <v>15</v>
      </c>
      <c r="K2" s="9">
        <v>16</v>
      </c>
      <c r="L2" s="9">
        <v>16</v>
      </c>
      <c r="M2" s="9">
        <v>16</v>
      </c>
      <c r="N2" s="9">
        <v>22</v>
      </c>
      <c r="O2" s="9">
        <v>22</v>
      </c>
      <c r="P2" s="9">
        <v>22</v>
      </c>
      <c r="Q2" s="9">
        <v>5</v>
      </c>
      <c r="R2" s="9">
        <v>5</v>
      </c>
      <c r="S2" s="9">
        <v>5</v>
      </c>
      <c r="T2" s="9">
        <v>6</v>
      </c>
      <c r="U2" s="9">
        <v>6</v>
      </c>
      <c r="V2" s="9">
        <v>6</v>
      </c>
      <c r="W2" s="9">
        <v>12</v>
      </c>
      <c r="X2" s="9">
        <v>12</v>
      </c>
      <c r="Y2" s="9">
        <v>12</v>
      </c>
      <c r="Z2" s="9">
        <v>13</v>
      </c>
      <c r="AA2" s="9">
        <v>13</v>
      </c>
      <c r="AB2" s="9">
        <v>13</v>
      </c>
      <c r="AC2" s="9">
        <v>19</v>
      </c>
      <c r="AD2" s="9">
        <v>19</v>
      </c>
      <c r="AE2" s="9">
        <v>19</v>
      </c>
      <c r="AF2" s="9">
        <v>20</v>
      </c>
      <c r="AG2" s="9">
        <v>20</v>
      </c>
      <c r="AH2" s="9">
        <v>20</v>
      </c>
      <c r="AI2" s="9">
        <v>2</v>
      </c>
      <c r="AJ2" s="9">
        <v>2</v>
      </c>
      <c r="AK2" s="9">
        <v>2</v>
      </c>
      <c r="AL2" s="9">
        <v>3</v>
      </c>
      <c r="AM2" s="9">
        <v>3</v>
      </c>
      <c r="AN2" s="9">
        <v>3</v>
      </c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 t="s">
        <v>103</v>
      </c>
      <c r="E3" s="63" t="s">
        <v>103</v>
      </c>
      <c r="F3" s="63" t="s">
        <v>103</v>
      </c>
      <c r="G3" s="63" t="s">
        <v>103</v>
      </c>
      <c r="H3" s="63" t="s">
        <v>103</v>
      </c>
      <c r="I3" s="63" t="s">
        <v>103</v>
      </c>
      <c r="J3" s="63" t="s">
        <v>103</v>
      </c>
      <c r="K3" s="63" t="s">
        <v>103</v>
      </c>
      <c r="L3" s="63" t="s">
        <v>103</v>
      </c>
      <c r="M3" s="63" t="s">
        <v>103</v>
      </c>
      <c r="N3" s="63" t="s">
        <v>103</v>
      </c>
      <c r="O3" s="63" t="s">
        <v>103</v>
      </c>
      <c r="P3" s="63" t="s">
        <v>103</v>
      </c>
      <c r="Q3" s="63" t="s">
        <v>104</v>
      </c>
      <c r="R3" s="63" t="s">
        <v>104</v>
      </c>
      <c r="S3" s="63" t="s">
        <v>104</v>
      </c>
      <c r="T3" s="63" t="s">
        <v>103</v>
      </c>
      <c r="U3" s="63" t="s">
        <v>103</v>
      </c>
      <c r="V3" s="63" t="s">
        <v>103</v>
      </c>
      <c r="W3" s="63" t="s">
        <v>103</v>
      </c>
      <c r="X3" s="63" t="s">
        <v>103</v>
      </c>
      <c r="Y3" s="63" t="s">
        <v>103</v>
      </c>
      <c r="Z3" s="63" t="s">
        <v>103</v>
      </c>
      <c r="AA3" s="63" t="s">
        <v>103</v>
      </c>
      <c r="AB3" s="63" t="s">
        <v>103</v>
      </c>
      <c r="AC3" s="63" t="s">
        <v>103</v>
      </c>
      <c r="AD3" s="63" t="s">
        <v>103</v>
      </c>
      <c r="AE3" s="63" t="s">
        <v>103</v>
      </c>
      <c r="AF3" s="63" t="s">
        <v>103</v>
      </c>
      <c r="AG3" s="63" t="s">
        <v>103</v>
      </c>
      <c r="AH3" s="63" t="s">
        <v>103</v>
      </c>
      <c r="AI3" s="63" t="s">
        <v>103</v>
      </c>
      <c r="AJ3" s="63" t="s">
        <v>103</v>
      </c>
      <c r="AK3" s="63" t="s">
        <v>103</v>
      </c>
      <c r="AL3" s="63" t="s">
        <v>103</v>
      </c>
      <c r="AM3" s="63" t="s">
        <v>103</v>
      </c>
      <c r="AN3" s="63" t="s">
        <v>103</v>
      </c>
      <c r="AO3" s="63" t="s">
        <v>103</v>
      </c>
      <c r="AP3" s="63" t="s">
        <v>103</v>
      </c>
      <c r="AQ3" s="63" t="s">
        <v>103</v>
      </c>
      <c r="AR3" s="37">
        <f>IF(B3="","",IF('UC5-frente'!$I$13='UC4-frente'!$I$13,COUNTIFS(D3:AQ3,"|")+'UC4-verso'!AR3,COUNTIFS(D3:AQ3,"|")))</f>
        <v>3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 t="s">
        <v>104</v>
      </c>
      <c r="E4" s="63" t="s">
        <v>104</v>
      </c>
      <c r="F4" s="63" t="s">
        <v>104</v>
      </c>
      <c r="G4" s="63" t="s">
        <v>104</v>
      </c>
      <c r="H4" s="63" t="s">
        <v>104</v>
      </c>
      <c r="I4" s="63" t="s">
        <v>104</v>
      </c>
      <c r="J4" s="63" t="s">
        <v>104</v>
      </c>
      <c r="K4" s="63" t="s">
        <v>104</v>
      </c>
      <c r="L4" s="63" t="s">
        <v>104</v>
      </c>
      <c r="M4" s="63" t="s">
        <v>104</v>
      </c>
      <c r="N4" s="63" t="s">
        <v>104</v>
      </c>
      <c r="O4" s="63" t="s">
        <v>104</v>
      </c>
      <c r="P4" s="63" t="s">
        <v>104</v>
      </c>
      <c r="Q4" s="63" t="s">
        <v>104</v>
      </c>
      <c r="R4" s="63" t="s">
        <v>104</v>
      </c>
      <c r="S4" s="63" t="s">
        <v>104</v>
      </c>
      <c r="T4" s="63" t="s">
        <v>104</v>
      </c>
      <c r="U4" s="63" t="s">
        <v>104</v>
      </c>
      <c r="V4" s="63" t="s">
        <v>104</v>
      </c>
      <c r="W4" s="63" t="s">
        <v>104</v>
      </c>
      <c r="X4" s="63" t="s">
        <v>104</v>
      </c>
      <c r="Y4" s="63" t="s">
        <v>104</v>
      </c>
      <c r="Z4" s="63" t="s">
        <v>104</v>
      </c>
      <c r="AA4" s="63" t="s">
        <v>104</v>
      </c>
      <c r="AB4" s="63" t="s">
        <v>104</v>
      </c>
      <c r="AC4" s="63" t="s">
        <v>104</v>
      </c>
      <c r="AD4" s="63" t="s">
        <v>104</v>
      </c>
      <c r="AE4" s="63" t="s">
        <v>104</v>
      </c>
      <c r="AF4" s="63" t="s">
        <v>104</v>
      </c>
      <c r="AG4" s="63" t="s">
        <v>104</v>
      </c>
      <c r="AH4" s="63" t="s">
        <v>104</v>
      </c>
      <c r="AI4" s="63" t="s">
        <v>104</v>
      </c>
      <c r="AJ4" s="63" t="s">
        <v>104</v>
      </c>
      <c r="AK4" s="63" t="s">
        <v>104</v>
      </c>
      <c r="AL4" s="63" t="s">
        <v>104</v>
      </c>
      <c r="AM4" s="63" t="s">
        <v>104</v>
      </c>
      <c r="AN4" s="63" t="s">
        <v>104</v>
      </c>
      <c r="AO4" s="63" t="s">
        <v>103</v>
      </c>
      <c r="AP4" s="63" t="s">
        <v>103</v>
      </c>
      <c r="AQ4" s="63" t="s">
        <v>103</v>
      </c>
      <c r="AR4" s="37">
        <f>IF(B4="","",IF('UC5-frente'!$I$13='UC4-frente'!$I$13,COUNTIFS(D4:AQ4,"|")+'UC4-verso'!AR4,COUNTIFS(D4:AQ4,"|")))</f>
        <v>37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 t="s">
        <v>104</v>
      </c>
      <c r="E5" s="63" t="s">
        <v>104</v>
      </c>
      <c r="F5" s="63" t="s">
        <v>104</v>
      </c>
      <c r="G5" s="63" t="s">
        <v>104</v>
      </c>
      <c r="H5" s="63" t="s">
        <v>104</v>
      </c>
      <c r="I5" s="63" t="s">
        <v>104</v>
      </c>
      <c r="J5" s="63" t="s">
        <v>104</v>
      </c>
      <c r="K5" s="63" t="s">
        <v>103</v>
      </c>
      <c r="L5" s="63" t="s">
        <v>103</v>
      </c>
      <c r="M5" s="63" t="s">
        <v>103</v>
      </c>
      <c r="N5" s="63" t="s">
        <v>104</v>
      </c>
      <c r="O5" s="63" t="s">
        <v>104</v>
      </c>
      <c r="P5" s="63" t="s">
        <v>104</v>
      </c>
      <c r="Q5" s="63" t="s">
        <v>103</v>
      </c>
      <c r="R5" s="63" t="s">
        <v>103</v>
      </c>
      <c r="S5" s="63" t="s">
        <v>103</v>
      </c>
      <c r="T5" s="63" t="s">
        <v>103</v>
      </c>
      <c r="U5" s="63" t="s">
        <v>103</v>
      </c>
      <c r="V5" s="63" t="s">
        <v>103</v>
      </c>
      <c r="W5" s="63" t="s">
        <v>103</v>
      </c>
      <c r="X5" s="63" t="s">
        <v>103</v>
      </c>
      <c r="Y5" s="63" t="s">
        <v>103</v>
      </c>
      <c r="Z5" s="63" t="s">
        <v>103</v>
      </c>
      <c r="AA5" s="63" t="s">
        <v>103</v>
      </c>
      <c r="AB5" s="63" t="s">
        <v>103</v>
      </c>
      <c r="AC5" s="63" t="s">
        <v>104</v>
      </c>
      <c r="AD5" s="63" t="s">
        <v>104</v>
      </c>
      <c r="AE5" s="63" t="s">
        <v>104</v>
      </c>
      <c r="AF5" s="63" t="s">
        <v>104</v>
      </c>
      <c r="AG5" s="63" t="s">
        <v>104</v>
      </c>
      <c r="AH5" s="63" t="s">
        <v>104</v>
      </c>
      <c r="AI5" s="63" t="s">
        <v>103</v>
      </c>
      <c r="AJ5" s="63" t="s">
        <v>103</v>
      </c>
      <c r="AK5" s="63" t="s">
        <v>103</v>
      </c>
      <c r="AL5" s="63" t="s">
        <v>103</v>
      </c>
      <c r="AM5" s="63" t="s">
        <v>103</v>
      </c>
      <c r="AN5" s="63" t="s">
        <v>103</v>
      </c>
      <c r="AO5" s="63" t="s">
        <v>103</v>
      </c>
      <c r="AP5" s="63" t="s">
        <v>103</v>
      </c>
      <c r="AQ5" s="63" t="s">
        <v>103</v>
      </c>
      <c r="AR5" s="37">
        <f>IF(B5="","",IF('UC5-frente'!$I$13='UC4-frente'!$I$13,COUNTIFS(D5:AQ5,"|")+'UC4-verso'!AR5,COUNTIFS(D5:AQ5,"|")))</f>
        <v>16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 t="s">
        <v>103</v>
      </c>
      <c r="E6" s="63" t="s">
        <v>103</v>
      </c>
      <c r="F6" s="63" t="s">
        <v>103</v>
      </c>
      <c r="G6" s="63" t="s">
        <v>103</v>
      </c>
      <c r="H6" s="63" t="s">
        <v>103</v>
      </c>
      <c r="I6" s="63" t="s">
        <v>103</v>
      </c>
      <c r="J6" s="63" t="s">
        <v>103</v>
      </c>
      <c r="K6" s="63" t="s">
        <v>104</v>
      </c>
      <c r="L6" s="63" t="s">
        <v>104</v>
      </c>
      <c r="M6" s="63" t="s">
        <v>104</v>
      </c>
      <c r="N6" s="63" t="s">
        <v>104</v>
      </c>
      <c r="O6" s="63" t="s">
        <v>104</v>
      </c>
      <c r="P6" s="63" t="s">
        <v>104</v>
      </c>
      <c r="Q6" s="63" t="s">
        <v>104</v>
      </c>
      <c r="R6" s="63" t="s">
        <v>104</v>
      </c>
      <c r="S6" s="63" t="s">
        <v>104</v>
      </c>
      <c r="T6" s="63" t="s">
        <v>104</v>
      </c>
      <c r="U6" s="63" t="s">
        <v>104</v>
      </c>
      <c r="V6" s="63" t="s">
        <v>104</v>
      </c>
      <c r="W6" s="63" t="s">
        <v>103</v>
      </c>
      <c r="X6" s="63" t="s">
        <v>103</v>
      </c>
      <c r="Y6" s="63" t="s">
        <v>103</v>
      </c>
      <c r="Z6" s="63" t="s">
        <v>103</v>
      </c>
      <c r="AA6" s="63" t="s">
        <v>103</v>
      </c>
      <c r="AB6" s="63" t="s">
        <v>103</v>
      </c>
      <c r="AC6" s="63" t="s">
        <v>103</v>
      </c>
      <c r="AD6" s="63" t="s">
        <v>103</v>
      </c>
      <c r="AE6" s="63" t="s">
        <v>103</v>
      </c>
      <c r="AF6" s="63" t="s">
        <v>103</v>
      </c>
      <c r="AG6" s="63" t="s">
        <v>103</v>
      </c>
      <c r="AH6" s="63" t="s">
        <v>103</v>
      </c>
      <c r="AI6" s="63" t="s">
        <v>103</v>
      </c>
      <c r="AJ6" s="63" t="s">
        <v>103</v>
      </c>
      <c r="AK6" s="63" t="s">
        <v>103</v>
      </c>
      <c r="AL6" s="63" t="s">
        <v>103</v>
      </c>
      <c r="AM6" s="63" t="s">
        <v>103</v>
      </c>
      <c r="AN6" s="63" t="s">
        <v>103</v>
      </c>
      <c r="AO6" s="63" t="s">
        <v>103</v>
      </c>
      <c r="AP6" s="63" t="s">
        <v>103</v>
      </c>
      <c r="AQ6" s="63" t="s">
        <v>103</v>
      </c>
      <c r="AR6" s="37">
        <f>IF(B6="","",IF('UC5-frente'!$I$13='UC4-frente'!$I$13,COUNTIFS(D6:AQ6,"|")+'UC4-verso'!AR6,COUNTIFS(D6:AQ6,"|")))</f>
        <v>12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 t="s">
        <v>103</v>
      </c>
      <c r="E7" s="63" t="s">
        <v>103</v>
      </c>
      <c r="F7" s="63" t="s">
        <v>103</v>
      </c>
      <c r="G7" s="63" t="s">
        <v>103</v>
      </c>
      <c r="H7" s="63" t="s">
        <v>103</v>
      </c>
      <c r="I7" s="63" t="s">
        <v>103</v>
      </c>
      <c r="J7" s="63" t="s">
        <v>103</v>
      </c>
      <c r="K7" s="63" t="s">
        <v>103</v>
      </c>
      <c r="L7" s="63" t="s">
        <v>103</v>
      </c>
      <c r="M7" s="63" t="s">
        <v>103</v>
      </c>
      <c r="N7" s="63" t="s">
        <v>104</v>
      </c>
      <c r="O7" s="63" t="s">
        <v>104</v>
      </c>
      <c r="P7" s="63" t="s">
        <v>104</v>
      </c>
      <c r="Q7" s="63" t="s">
        <v>104</v>
      </c>
      <c r="R7" s="63" t="s">
        <v>104</v>
      </c>
      <c r="S7" s="63" t="s">
        <v>104</v>
      </c>
      <c r="T7" s="63" t="s">
        <v>104</v>
      </c>
      <c r="U7" s="63" t="s">
        <v>104</v>
      </c>
      <c r="V7" s="63" t="s">
        <v>104</v>
      </c>
      <c r="W7" s="63" t="s">
        <v>104</v>
      </c>
      <c r="X7" s="63" t="s">
        <v>104</v>
      </c>
      <c r="Y7" s="63" t="s">
        <v>104</v>
      </c>
      <c r="Z7" s="63" t="s">
        <v>104</v>
      </c>
      <c r="AA7" s="63" t="s">
        <v>104</v>
      </c>
      <c r="AB7" s="63" t="s">
        <v>104</v>
      </c>
      <c r="AC7" s="63" t="s">
        <v>104</v>
      </c>
      <c r="AD7" s="63" t="s">
        <v>104</v>
      </c>
      <c r="AE7" s="63" t="s">
        <v>104</v>
      </c>
      <c r="AF7" s="63" t="s">
        <v>104</v>
      </c>
      <c r="AG7" s="63" t="s">
        <v>104</v>
      </c>
      <c r="AH7" s="63" t="s">
        <v>104</v>
      </c>
      <c r="AI7" s="63" t="s">
        <v>104</v>
      </c>
      <c r="AJ7" s="63" t="s">
        <v>104</v>
      </c>
      <c r="AK7" s="63" t="s">
        <v>104</v>
      </c>
      <c r="AL7" s="63" t="s">
        <v>104</v>
      </c>
      <c r="AM7" s="63" t="s">
        <v>104</v>
      </c>
      <c r="AN7" s="63" t="s">
        <v>104</v>
      </c>
      <c r="AO7" s="63" t="s">
        <v>103</v>
      </c>
      <c r="AP7" s="63" t="s">
        <v>103</v>
      </c>
      <c r="AQ7" s="63" t="s">
        <v>103</v>
      </c>
      <c r="AR7" s="37">
        <f>IF(B7="","",IF('UC5-frente'!$I$13='UC4-frente'!$I$13,COUNTIFS(D7:AQ7,"|")+'UC4-verso'!AR7,COUNTIFS(D7:AQ7,"|")))</f>
        <v>27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 t="s">
        <v>104</v>
      </c>
      <c r="E8" s="63" t="s">
        <v>104</v>
      </c>
      <c r="F8" s="63" t="s">
        <v>104</v>
      </c>
      <c r="G8" s="63" t="s">
        <v>104</v>
      </c>
      <c r="H8" s="63" t="s">
        <v>104</v>
      </c>
      <c r="I8" s="63" t="s">
        <v>104</v>
      </c>
      <c r="J8" s="63" t="s">
        <v>104</v>
      </c>
      <c r="K8" s="63" t="s">
        <v>104</v>
      </c>
      <c r="L8" s="63" t="s">
        <v>104</v>
      </c>
      <c r="M8" s="63" t="s">
        <v>104</v>
      </c>
      <c r="N8" s="63" t="s">
        <v>104</v>
      </c>
      <c r="O8" s="63" t="s">
        <v>104</v>
      </c>
      <c r="P8" s="63" t="s">
        <v>104</v>
      </c>
      <c r="Q8" s="63" t="s">
        <v>104</v>
      </c>
      <c r="R8" s="63" t="s">
        <v>104</v>
      </c>
      <c r="S8" s="63" t="s">
        <v>104</v>
      </c>
      <c r="T8" s="63" t="s">
        <v>104</v>
      </c>
      <c r="U8" s="63" t="s">
        <v>104</v>
      </c>
      <c r="V8" s="63" t="s">
        <v>104</v>
      </c>
      <c r="W8" s="63" t="s">
        <v>104</v>
      </c>
      <c r="X8" s="63" t="s">
        <v>104</v>
      </c>
      <c r="Y8" s="63" t="s">
        <v>104</v>
      </c>
      <c r="Z8" s="63" t="s">
        <v>104</v>
      </c>
      <c r="AA8" s="63" t="s">
        <v>104</v>
      </c>
      <c r="AB8" s="63" t="s">
        <v>104</v>
      </c>
      <c r="AC8" s="63" t="s">
        <v>104</v>
      </c>
      <c r="AD8" s="63" t="s">
        <v>104</v>
      </c>
      <c r="AE8" s="63" t="s">
        <v>104</v>
      </c>
      <c r="AF8" s="63" t="s">
        <v>104</v>
      </c>
      <c r="AG8" s="63" t="s">
        <v>104</v>
      </c>
      <c r="AH8" s="63" t="s">
        <v>104</v>
      </c>
      <c r="AI8" s="63" t="s">
        <v>104</v>
      </c>
      <c r="AJ8" s="63" t="s">
        <v>104</v>
      </c>
      <c r="AK8" s="63" t="s">
        <v>104</v>
      </c>
      <c r="AL8" s="63" t="s">
        <v>104</v>
      </c>
      <c r="AM8" s="63" t="s">
        <v>104</v>
      </c>
      <c r="AN8" s="63" t="s">
        <v>104</v>
      </c>
      <c r="AO8" s="63" t="s">
        <v>103</v>
      </c>
      <c r="AP8" s="63" t="s">
        <v>103</v>
      </c>
      <c r="AQ8" s="63" t="s">
        <v>103</v>
      </c>
      <c r="AR8" s="37">
        <f>IF(B8="","",IF('UC5-frente'!$I$13='UC4-frente'!$I$13,COUNTIFS(D8:AQ8,"|")+'UC4-verso'!AR8,COUNTIFS(D8:AQ8,"|")))</f>
        <v>37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 t="s">
        <v>103</v>
      </c>
      <c r="E9" s="63" t="s">
        <v>103</v>
      </c>
      <c r="F9" s="63" t="s">
        <v>103</v>
      </c>
      <c r="G9" s="63" t="s">
        <v>103</v>
      </c>
      <c r="H9" s="63" t="s">
        <v>104</v>
      </c>
      <c r="I9" s="63" t="s">
        <v>104</v>
      </c>
      <c r="J9" s="63" t="s">
        <v>104</v>
      </c>
      <c r="K9" s="63" t="s">
        <v>103</v>
      </c>
      <c r="L9" s="63" t="s">
        <v>103</v>
      </c>
      <c r="M9" s="63" t="s">
        <v>103</v>
      </c>
      <c r="N9" s="63" t="s">
        <v>103</v>
      </c>
      <c r="O9" s="63" t="s">
        <v>103</v>
      </c>
      <c r="P9" s="63" t="s">
        <v>103</v>
      </c>
      <c r="Q9" s="63" t="s">
        <v>104</v>
      </c>
      <c r="R9" s="63" t="s">
        <v>104</v>
      </c>
      <c r="S9" s="63" t="s">
        <v>104</v>
      </c>
      <c r="T9" s="63" t="s">
        <v>103</v>
      </c>
      <c r="U9" s="63" t="s">
        <v>103</v>
      </c>
      <c r="V9" s="63" t="s">
        <v>103</v>
      </c>
      <c r="W9" s="63" t="s">
        <v>103</v>
      </c>
      <c r="X9" s="63" t="s">
        <v>103</v>
      </c>
      <c r="Y9" s="63" t="s">
        <v>103</v>
      </c>
      <c r="Z9" s="63" t="s">
        <v>103</v>
      </c>
      <c r="AA9" s="63" t="s">
        <v>103</v>
      </c>
      <c r="AB9" s="63" t="s">
        <v>103</v>
      </c>
      <c r="AC9" s="63" t="s">
        <v>103</v>
      </c>
      <c r="AD9" s="63" t="s">
        <v>103</v>
      </c>
      <c r="AE9" s="63" t="s">
        <v>103</v>
      </c>
      <c r="AF9" s="63" t="s">
        <v>104</v>
      </c>
      <c r="AG9" s="63" t="s">
        <v>104</v>
      </c>
      <c r="AH9" s="63" t="s">
        <v>104</v>
      </c>
      <c r="AI9" s="63" t="s">
        <v>103</v>
      </c>
      <c r="AJ9" s="63" t="s">
        <v>103</v>
      </c>
      <c r="AK9" s="63" t="s">
        <v>103</v>
      </c>
      <c r="AL9" s="63" t="s">
        <v>103</v>
      </c>
      <c r="AM9" s="63" t="s">
        <v>103</v>
      </c>
      <c r="AN9" s="63" t="s">
        <v>103</v>
      </c>
      <c r="AO9" s="63" t="s">
        <v>103</v>
      </c>
      <c r="AP9" s="63" t="s">
        <v>103</v>
      </c>
      <c r="AQ9" s="63" t="s">
        <v>103</v>
      </c>
      <c r="AR9" s="37">
        <f>IF(B9="","",IF('UC5-frente'!$I$13='UC4-frente'!$I$13,COUNTIFS(D9:AQ9,"|")+'UC4-verso'!AR9,COUNTIFS(D9:AQ9,"|")))</f>
        <v>9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 t="s">
        <v>103</v>
      </c>
      <c r="E10" s="63" t="s">
        <v>103</v>
      </c>
      <c r="F10" s="63" t="s">
        <v>103</v>
      </c>
      <c r="G10" s="63" t="s">
        <v>103</v>
      </c>
      <c r="H10" s="63" t="s">
        <v>104</v>
      </c>
      <c r="I10" s="63" t="s">
        <v>104</v>
      </c>
      <c r="J10" s="63" t="s">
        <v>104</v>
      </c>
      <c r="K10" s="63" t="s">
        <v>103</v>
      </c>
      <c r="L10" s="63" t="s">
        <v>103</v>
      </c>
      <c r="M10" s="63" t="s">
        <v>103</v>
      </c>
      <c r="N10" s="63" t="s">
        <v>103</v>
      </c>
      <c r="O10" s="63" t="s">
        <v>103</v>
      </c>
      <c r="P10" s="63" t="s">
        <v>103</v>
      </c>
      <c r="Q10" s="63" t="s">
        <v>103</v>
      </c>
      <c r="R10" s="63" t="s">
        <v>103</v>
      </c>
      <c r="S10" s="63" t="s">
        <v>103</v>
      </c>
      <c r="T10" s="63" t="s">
        <v>103</v>
      </c>
      <c r="U10" s="63" t="s">
        <v>103</v>
      </c>
      <c r="V10" s="63" t="s">
        <v>103</v>
      </c>
      <c r="W10" s="63" t="s">
        <v>103</v>
      </c>
      <c r="X10" s="63" t="s">
        <v>103</v>
      </c>
      <c r="Y10" s="63" t="s">
        <v>103</v>
      </c>
      <c r="Z10" s="63" t="s">
        <v>103</v>
      </c>
      <c r="AA10" s="63" t="s">
        <v>103</v>
      </c>
      <c r="AB10" s="63" t="s">
        <v>103</v>
      </c>
      <c r="AC10" s="63" t="s">
        <v>104</v>
      </c>
      <c r="AD10" s="63" t="s">
        <v>104</v>
      </c>
      <c r="AE10" s="63" t="s">
        <v>104</v>
      </c>
      <c r="AF10" s="63" t="s">
        <v>103</v>
      </c>
      <c r="AG10" s="63" t="s">
        <v>103</v>
      </c>
      <c r="AH10" s="63" t="s">
        <v>103</v>
      </c>
      <c r="AI10" s="63" t="s">
        <v>103</v>
      </c>
      <c r="AJ10" s="63" t="s">
        <v>103</v>
      </c>
      <c r="AK10" s="63" t="s">
        <v>103</v>
      </c>
      <c r="AL10" s="63" t="s">
        <v>103</v>
      </c>
      <c r="AM10" s="63" t="s">
        <v>103</v>
      </c>
      <c r="AN10" s="63" t="s">
        <v>103</v>
      </c>
      <c r="AO10" s="63" t="s">
        <v>103</v>
      </c>
      <c r="AP10" s="63" t="s">
        <v>103</v>
      </c>
      <c r="AQ10" s="63" t="s">
        <v>103</v>
      </c>
      <c r="AR10" s="37">
        <f>IF(B10="","",IF('UC5-frente'!$I$13='UC4-frente'!$I$13,COUNTIFS(D10:AQ10,"|")+'UC4-verso'!AR10,COUNTIFS(D10:AQ10,"|")))</f>
        <v>6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 t="s">
        <v>104</v>
      </c>
      <c r="E11" s="63" t="s">
        <v>104</v>
      </c>
      <c r="F11" s="63" t="s">
        <v>104</v>
      </c>
      <c r="G11" s="63" t="s">
        <v>104</v>
      </c>
      <c r="H11" s="63" t="s">
        <v>104</v>
      </c>
      <c r="I11" s="63" t="s">
        <v>104</v>
      </c>
      <c r="J11" s="63" t="s">
        <v>104</v>
      </c>
      <c r="K11" s="63" t="s">
        <v>104</v>
      </c>
      <c r="L11" s="63" t="s">
        <v>104</v>
      </c>
      <c r="M11" s="63" t="s">
        <v>104</v>
      </c>
      <c r="N11" s="63" t="s">
        <v>104</v>
      </c>
      <c r="O11" s="63" t="s">
        <v>104</v>
      </c>
      <c r="P11" s="63" t="s">
        <v>104</v>
      </c>
      <c r="Q11" s="63" t="s">
        <v>104</v>
      </c>
      <c r="R11" s="63" t="s">
        <v>104</v>
      </c>
      <c r="S11" s="63" t="s">
        <v>104</v>
      </c>
      <c r="T11" s="63" t="s">
        <v>104</v>
      </c>
      <c r="U11" s="63" t="s">
        <v>104</v>
      </c>
      <c r="V11" s="63" t="s">
        <v>104</v>
      </c>
      <c r="W11" s="63" t="s">
        <v>104</v>
      </c>
      <c r="X11" s="63" t="s">
        <v>104</v>
      </c>
      <c r="Y11" s="63" t="s">
        <v>104</v>
      </c>
      <c r="Z11" s="63" t="s">
        <v>104</v>
      </c>
      <c r="AA11" s="63" t="s">
        <v>104</v>
      </c>
      <c r="AB11" s="63" t="s">
        <v>104</v>
      </c>
      <c r="AC11" s="63" t="s">
        <v>104</v>
      </c>
      <c r="AD11" s="63" t="s">
        <v>104</v>
      </c>
      <c r="AE11" s="63" t="s">
        <v>104</v>
      </c>
      <c r="AF11" s="63" t="s">
        <v>104</v>
      </c>
      <c r="AG11" s="63" t="s">
        <v>104</v>
      </c>
      <c r="AH11" s="63" t="s">
        <v>104</v>
      </c>
      <c r="AI11" s="63" t="s">
        <v>104</v>
      </c>
      <c r="AJ11" s="63" t="s">
        <v>104</v>
      </c>
      <c r="AK11" s="63" t="s">
        <v>104</v>
      </c>
      <c r="AL11" s="63" t="s">
        <v>104</v>
      </c>
      <c r="AM11" s="63" t="s">
        <v>104</v>
      </c>
      <c r="AN11" s="63" t="s">
        <v>104</v>
      </c>
      <c r="AO11" s="63" t="s">
        <v>103</v>
      </c>
      <c r="AP11" s="63" t="s">
        <v>103</v>
      </c>
      <c r="AQ11" s="63" t="s">
        <v>103</v>
      </c>
      <c r="AR11" s="37">
        <f>IF(B11="","",IF('UC5-frente'!$I$13='UC4-frente'!$I$13,COUNTIFS(D11:AQ11,"|")+'UC4-verso'!AR11,COUNTIFS(D11:AQ11,"|")))</f>
        <v>37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 t="s">
        <v>104</v>
      </c>
      <c r="E12" s="63" t="s">
        <v>103</v>
      </c>
      <c r="F12" s="63" t="s">
        <v>103</v>
      </c>
      <c r="G12" s="63" t="s">
        <v>103</v>
      </c>
      <c r="H12" s="63" t="s">
        <v>104</v>
      </c>
      <c r="I12" s="63" t="s">
        <v>104</v>
      </c>
      <c r="J12" s="63" t="s">
        <v>104</v>
      </c>
      <c r="K12" s="63" t="s">
        <v>104</v>
      </c>
      <c r="L12" s="63" t="s">
        <v>104</v>
      </c>
      <c r="M12" s="63" t="s">
        <v>104</v>
      </c>
      <c r="N12" s="63" t="s">
        <v>103</v>
      </c>
      <c r="O12" s="63" t="s">
        <v>103</v>
      </c>
      <c r="P12" s="63" t="s">
        <v>103</v>
      </c>
      <c r="Q12" s="63" t="s">
        <v>104</v>
      </c>
      <c r="R12" s="63" t="s">
        <v>104</v>
      </c>
      <c r="S12" s="63" t="s">
        <v>104</v>
      </c>
      <c r="T12" s="63" t="s">
        <v>103</v>
      </c>
      <c r="U12" s="63" t="s">
        <v>103</v>
      </c>
      <c r="V12" s="63" t="s">
        <v>103</v>
      </c>
      <c r="W12" s="63" t="s">
        <v>104</v>
      </c>
      <c r="X12" s="63" t="s">
        <v>104</v>
      </c>
      <c r="Y12" s="63" t="s">
        <v>104</v>
      </c>
      <c r="Z12" s="63" t="s">
        <v>104</v>
      </c>
      <c r="AA12" s="63" t="s">
        <v>104</v>
      </c>
      <c r="AB12" s="63" t="s">
        <v>104</v>
      </c>
      <c r="AC12" s="63" t="s">
        <v>104</v>
      </c>
      <c r="AD12" s="63" t="s">
        <v>104</v>
      </c>
      <c r="AE12" s="63" t="s">
        <v>104</v>
      </c>
      <c r="AF12" s="63" t="s">
        <v>104</v>
      </c>
      <c r="AG12" s="63" t="s">
        <v>104</v>
      </c>
      <c r="AH12" s="63" t="s">
        <v>104</v>
      </c>
      <c r="AI12" s="63" t="s">
        <v>104</v>
      </c>
      <c r="AJ12" s="63" t="s">
        <v>104</v>
      </c>
      <c r="AK12" s="63" t="s">
        <v>104</v>
      </c>
      <c r="AL12" s="63" t="s">
        <v>104</v>
      </c>
      <c r="AM12" s="63" t="s">
        <v>104</v>
      </c>
      <c r="AN12" s="63" t="s">
        <v>104</v>
      </c>
      <c r="AO12" s="63" t="s">
        <v>103</v>
      </c>
      <c r="AP12" s="63" t="s">
        <v>103</v>
      </c>
      <c r="AQ12" s="63" t="s">
        <v>103</v>
      </c>
      <c r="AR12" s="37">
        <f>IF(B12="","",IF('UC5-frente'!$I$13='UC4-frente'!$I$13,COUNTIFS(D12:AQ12,"|")+'UC4-verso'!AR12,COUNTIFS(D12:AQ12,"|")))</f>
        <v>28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 t="s">
        <v>104</v>
      </c>
      <c r="E13" s="63" t="s">
        <v>104</v>
      </c>
      <c r="F13" s="63" t="s">
        <v>104</v>
      </c>
      <c r="G13" s="63" t="s">
        <v>104</v>
      </c>
      <c r="H13" s="63" t="s">
        <v>104</v>
      </c>
      <c r="I13" s="63" t="s">
        <v>104</v>
      </c>
      <c r="J13" s="63" t="s">
        <v>104</v>
      </c>
      <c r="K13" s="63" t="s">
        <v>104</v>
      </c>
      <c r="L13" s="63" t="s">
        <v>104</v>
      </c>
      <c r="M13" s="63" t="s">
        <v>104</v>
      </c>
      <c r="N13" s="63" t="s">
        <v>104</v>
      </c>
      <c r="O13" s="63" t="s">
        <v>104</v>
      </c>
      <c r="P13" s="63" t="s">
        <v>104</v>
      </c>
      <c r="Q13" s="63" t="s">
        <v>104</v>
      </c>
      <c r="R13" s="63" t="s">
        <v>104</v>
      </c>
      <c r="S13" s="63" t="s">
        <v>104</v>
      </c>
      <c r="T13" s="63" t="s">
        <v>104</v>
      </c>
      <c r="U13" s="63" t="s">
        <v>104</v>
      </c>
      <c r="V13" s="63" t="s">
        <v>104</v>
      </c>
      <c r="W13" s="63" t="s">
        <v>104</v>
      </c>
      <c r="X13" s="63" t="s">
        <v>104</v>
      </c>
      <c r="Y13" s="63" t="s">
        <v>104</v>
      </c>
      <c r="Z13" s="63" t="s">
        <v>104</v>
      </c>
      <c r="AA13" s="63" t="s">
        <v>104</v>
      </c>
      <c r="AB13" s="63" t="s">
        <v>104</v>
      </c>
      <c r="AC13" s="63" t="s">
        <v>104</v>
      </c>
      <c r="AD13" s="63" t="s">
        <v>104</v>
      </c>
      <c r="AE13" s="63" t="s">
        <v>104</v>
      </c>
      <c r="AF13" s="63" t="s">
        <v>104</v>
      </c>
      <c r="AG13" s="63" t="s">
        <v>104</v>
      </c>
      <c r="AH13" s="63" t="s">
        <v>104</v>
      </c>
      <c r="AI13" s="63" t="s">
        <v>104</v>
      </c>
      <c r="AJ13" s="63" t="s">
        <v>104</v>
      </c>
      <c r="AK13" s="63" t="s">
        <v>104</v>
      </c>
      <c r="AL13" s="63" t="s">
        <v>104</v>
      </c>
      <c r="AM13" s="63" t="s">
        <v>104</v>
      </c>
      <c r="AN13" s="63" t="s">
        <v>104</v>
      </c>
      <c r="AO13" s="63" t="s">
        <v>103</v>
      </c>
      <c r="AP13" s="63" t="s">
        <v>103</v>
      </c>
      <c r="AQ13" s="63" t="s">
        <v>103</v>
      </c>
      <c r="AR13" s="37">
        <f>IF(B13="","",IF('UC5-frente'!$I$13='UC4-frente'!$I$13,COUNTIFS(D13:AQ13,"|")+'UC4-verso'!AR13,COUNTIFS(D13:AQ13,"|")))</f>
        <v>37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 t="s">
        <v>103</v>
      </c>
      <c r="E14" s="63" t="s">
        <v>103</v>
      </c>
      <c r="F14" s="63" t="s">
        <v>103</v>
      </c>
      <c r="G14" s="63" t="s">
        <v>103</v>
      </c>
      <c r="H14" s="63" t="s">
        <v>104</v>
      </c>
      <c r="I14" s="63" t="s">
        <v>104</v>
      </c>
      <c r="J14" s="63" t="s">
        <v>104</v>
      </c>
      <c r="K14" s="63" t="s">
        <v>104</v>
      </c>
      <c r="L14" s="63" t="s">
        <v>104</v>
      </c>
      <c r="M14" s="63" t="s">
        <v>104</v>
      </c>
      <c r="N14" s="63" t="s">
        <v>103</v>
      </c>
      <c r="O14" s="63" t="s">
        <v>103</v>
      </c>
      <c r="P14" s="63" t="s">
        <v>103</v>
      </c>
      <c r="Q14" s="63" t="s">
        <v>103</v>
      </c>
      <c r="R14" s="63" t="s">
        <v>103</v>
      </c>
      <c r="S14" s="63" t="s">
        <v>103</v>
      </c>
      <c r="T14" s="63" t="s">
        <v>103</v>
      </c>
      <c r="U14" s="63" t="s">
        <v>103</v>
      </c>
      <c r="V14" s="63" t="s">
        <v>103</v>
      </c>
      <c r="W14" s="63" t="s">
        <v>104</v>
      </c>
      <c r="X14" s="63" t="s">
        <v>104</v>
      </c>
      <c r="Y14" s="63" t="s">
        <v>104</v>
      </c>
      <c r="Z14" s="63" t="s">
        <v>104</v>
      </c>
      <c r="AA14" s="63" t="s">
        <v>104</v>
      </c>
      <c r="AB14" s="63" t="s">
        <v>104</v>
      </c>
      <c r="AC14" s="63" t="s">
        <v>103</v>
      </c>
      <c r="AD14" s="63" t="s">
        <v>103</v>
      </c>
      <c r="AE14" s="63" t="s">
        <v>103</v>
      </c>
      <c r="AF14" s="63" t="s">
        <v>103</v>
      </c>
      <c r="AG14" s="63" t="s">
        <v>103</v>
      </c>
      <c r="AH14" s="63" t="s">
        <v>103</v>
      </c>
      <c r="AI14" s="63" t="s">
        <v>103</v>
      </c>
      <c r="AJ14" s="63" t="s">
        <v>103</v>
      </c>
      <c r="AK14" s="63" t="s">
        <v>103</v>
      </c>
      <c r="AL14" s="63" t="s">
        <v>103</v>
      </c>
      <c r="AM14" s="63" t="s">
        <v>103</v>
      </c>
      <c r="AN14" s="63" t="s">
        <v>103</v>
      </c>
      <c r="AO14" s="63" t="s">
        <v>103</v>
      </c>
      <c r="AP14" s="63" t="s">
        <v>103</v>
      </c>
      <c r="AQ14" s="63" t="s">
        <v>103</v>
      </c>
      <c r="AR14" s="37">
        <f>IF(B14="","",IF('UC5-frente'!$I$13='UC4-frente'!$I$13,COUNTIFS(D14:AQ14,"|")+'UC4-verso'!AR14,COUNTIFS(D14:AQ14,"|")))</f>
        <v>12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 t="s">
        <v>103</v>
      </c>
      <c r="E15" s="63" t="s">
        <v>103</v>
      </c>
      <c r="F15" s="63" t="s">
        <v>103</v>
      </c>
      <c r="G15" s="63" t="s">
        <v>103</v>
      </c>
      <c r="H15" s="63" t="s">
        <v>103</v>
      </c>
      <c r="I15" s="63" t="s">
        <v>103</v>
      </c>
      <c r="J15" s="63" t="s">
        <v>103</v>
      </c>
      <c r="K15" s="63" t="s">
        <v>104</v>
      </c>
      <c r="L15" s="63" t="s">
        <v>104</v>
      </c>
      <c r="M15" s="63" t="s">
        <v>104</v>
      </c>
      <c r="N15" s="63" t="s">
        <v>104</v>
      </c>
      <c r="O15" s="63" t="s">
        <v>104</v>
      </c>
      <c r="P15" s="63" t="s">
        <v>104</v>
      </c>
      <c r="Q15" s="63" t="s">
        <v>104</v>
      </c>
      <c r="R15" s="63" t="s">
        <v>104</v>
      </c>
      <c r="S15" s="63" t="s">
        <v>104</v>
      </c>
      <c r="T15" s="63" t="s">
        <v>104</v>
      </c>
      <c r="U15" s="63" t="s">
        <v>104</v>
      </c>
      <c r="V15" s="63" t="s">
        <v>104</v>
      </c>
      <c r="W15" s="63" t="s">
        <v>103</v>
      </c>
      <c r="X15" s="63" t="s">
        <v>103</v>
      </c>
      <c r="Y15" s="63" t="s">
        <v>103</v>
      </c>
      <c r="Z15" s="63" t="s">
        <v>103</v>
      </c>
      <c r="AA15" s="63" t="s">
        <v>103</v>
      </c>
      <c r="AB15" s="63" t="s">
        <v>103</v>
      </c>
      <c r="AC15" s="63" t="s">
        <v>103</v>
      </c>
      <c r="AD15" s="63" t="s">
        <v>103</v>
      </c>
      <c r="AE15" s="63" t="s">
        <v>103</v>
      </c>
      <c r="AF15" s="63" t="s">
        <v>103</v>
      </c>
      <c r="AG15" s="63" t="s">
        <v>103</v>
      </c>
      <c r="AH15" s="63" t="s">
        <v>103</v>
      </c>
      <c r="AI15" s="63" t="s">
        <v>103</v>
      </c>
      <c r="AJ15" s="63" t="s">
        <v>103</v>
      </c>
      <c r="AK15" s="63" t="s">
        <v>103</v>
      </c>
      <c r="AL15" s="63" t="s">
        <v>103</v>
      </c>
      <c r="AM15" s="63" t="s">
        <v>103</v>
      </c>
      <c r="AN15" s="63" t="s">
        <v>103</v>
      </c>
      <c r="AO15" s="63" t="s">
        <v>103</v>
      </c>
      <c r="AP15" s="63" t="s">
        <v>103</v>
      </c>
      <c r="AQ15" s="63" t="s">
        <v>103</v>
      </c>
      <c r="AR15" s="37">
        <f>IF(B15="","",IF('UC5-frente'!$I$13='UC4-frente'!$I$13,COUNTIFS(D15:AQ15,"|")+'UC4-verso'!AR15,COUNTIFS(D15:AQ15,"|")))</f>
        <v>12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 t="s">
        <v>104</v>
      </c>
      <c r="E16" s="63" t="s">
        <v>103</v>
      </c>
      <c r="F16" s="63" t="s">
        <v>103</v>
      </c>
      <c r="G16" s="63" t="s">
        <v>103</v>
      </c>
      <c r="H16" s="63" t="s">
        <v>104</v>
      </c>
      <c r="I16" s="63" t="s">
        <v>104</v>
      </c>
      <c r="J16" s="63" t="s">
        <v>104</v>
      </c>
      <c r="K16" s="63" t="s">
        <v>103</v>
      </c>
      <c r="L16" s="63" t="s">
        <v>103</v>
      </c>
      <c r="M16" s="63" t="s">
        <v>103</v>
      </c>
      <c r="N16" s="63" t="s">
        <v>104</v>
      </c>
      <c r="O16" s="63" t="s">
        <v>104</v>
      </c>
      <c r="P16" s="63" t="s">
        <v>104</v>
      </c>
      <c r="Q16" s="63" t="s">
        <v>104</v>
      </c>
      <c r="R16" s="63" t="s">
        <v>104</v>
      </c>
      <c r="S16" s="63" t="s">
        <v>104</v>
      </c>
      <c r="T16" s="63" t="s">
        <v>104</v>
      </c>
      <c r="U16" s="63" t="s">
        <v>104</v>
      </c>
      <c r="V16" s="63" t="s">
        <v>104</v>
      </c>
      <c r="W16" s="63" t="s">
        <v>104</v>
      </c>
      <c r="X16" s="63" t="s">
        <v>104</v>
      </c>
      <c r="Y16" s="63" t="s">
        <v>104</v>
      </c>
      <c r="Z16" s="63" t="s">
        <v>104</v>
      </c>
      <c r="AA16" s="63" t="s">
        <v>104</v>
      </c>
      <c r="AB16" s="63" t="s">
        <v>104</v>
      </c>
      <c r="AC16" s="63" t="s">
        <v>104</v>
      </c>
      <c r="AD16" s="63" t="s">
        <v>104</v>
      </c>
      <c r="AE16" s="63" t="s">
        <v>104</v>
      </c>
      <c r="AF16" s="63" t="s">
        <v>104</v>
      </c>
      <c r="AG16" s="63" t="s">
        <v>104</v>
      </c>
      <c r="AH16" s="63" t="s">
        <v>104</v>
      </c>
      <c r="AI16" s="63" t="s">
        <v>104</v>
      </c>
      <c r="AJ16" s="63" t="s">
        <v>104</v>
      </c>
      <c r="AK16" s="63" t="s">
        <v>104</v>
      </c>
      <c r="AL16" s="63" t="s">
        <v>104</v>
      </c>
      <c r="AM16" s="63" t="s">
        <v>104</v>
      </c>
      <c r="AN16" s="63" t="s">
        <v>104</v>
      </c>
      <c r="AO16" s="63" t="s">
        <v>103</v>
      </c>
      <c r="AP16" s="63" t="s">
        <v>103</v>
      </c>
      <c r="AQ16" s="63" t="s">
        <v>103</v>
      </c>
      <c r="AR16" s="37">
        <f>IF(B16="","",IF('UC5-frente'!$I$13='UC4-frente'!$I$13,COUNTIFS(D16:AQ16,"|")+'UC4-verso'!AR16,COUNTIFS(D16:AQ16,"|")))</f>
        <v>31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IF(B17="","",IF('UC5-frente'!$I$13='UC4-frente'!$I$13,COUNTIFS(D17:AQ17,"|")+'UC4-verso'!AR17,COUNTIFS(D17:AQ17,"|")))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IF(B18="","",IF('UC5-frente'!$I$13='UC4-frente'!$I$13,COUNTIFS(D18:AQ18,"|")+'UC4-verso'!AR18,COUNTIFS(D18:AQ18,"|")))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IF(B19="","",IF('UC5-frente'!$I$13='UC4-frente'!$I$13,COUNTIFS(D19:AQ19,"|")+'UC4-verso'!AR19,COUNTIFS(D19:AQ19,"|")))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IF(B20="","",IF('UC5-frente'!$I$13='UC4-frente'!$I$13,COUNTIFS(D20:AQ20,"|")+'UC4-verso'!AR20,COUNTIFS(D20:AQ20,"|")))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IF(B21="","",IF('UC5-frente'!$I$13='UC4-frente'!$I$13,COUNTIFS(D21:AQ21,"|")+'UC4-verso'!AR21,COUNTIFS(D21:AQ21,"|")))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IF(B22="","",IF('UC5-frente'!$I$13='UC4-frente'!$I$13,COUNTIFS(D22:AQ22,"|")+'UC4-verso'!AR22,COUNTIFS(D22:AQ22,"|")))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IF(B23="","",IF('UC5-frente'!$I$13='UC4-frente'!$I$13,COUNTIFS(D23:AQ23,"|")+'UC4-verso'!AR23,COUNTIFS(D23:AQ23,"|")))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IF(B24="","",IF('UC5-frente'!$I$13='UC4-frente'!$I$13,COUNTIFS(D24:AQ24,"|")+'UC4-verso'!AR24,COUNTIFS(D24:AQ24,"|")))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IF(B25="","",IF('UC5-frente'!$I$13='UC4-frente'!$I$13,COUNTIFS(D25:AQ25,"|")+'UC4-verso'!AR25,COUNTIFS(D25:AQ25,"|")))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IF(B26="","",IF('UC5-frente'!$I$13='UC4-frente'!$I$13,COUNTIFS(D26:AQ26,"|")+'UC4-verso'!AR26,COUNTIFS(D26:AQ26,"|")))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IF(B27="","",IF('UC5-frente'!$I$13='UC4-frente'!$I$13,COUNTIFS(D27:AQ27,"|")+'UC4-verso'!AR27,COUNTIFS(D27:AQ27,"|")))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IF(B28="","",IF('UC5-frente'!$I$13='UC4-frente'!$I$13,COUNTIFS(D28:AQ28,"|")+'UC4-verso'!AR28,COUNTIFS(D28:AQ28,"|")))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IF(B29="","",IF('UC5-frente'!$I$13='UC4-frente'!$I$13,COUNTIFS(D29:AQ29,"|")+'UC4-verso'!AR29,COUNTIFS(D29:AQ29,"|")))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IF(B30="","",IF('UC5-frente'!$I$13='UC4-frente'!$I$13,COUNTIFS(D30:AQ30,"|")+'UC4-verso'!AR30,COUNTIFS(D30:AQ30,"|")))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IF(B31="","",IF('UC5-frente'!$I$13='UC4-frente'!$I$13,COUNTIFS(D31:AQ31,"|")+'UC4-verso'!AR31,COUNTIFS(D31:AQ31,"|")))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IF(B32="","",IF('UC5-frente'!$I$13='UC4-frente'!$I$13,COUNTIFS(D32:AQ32,"|")+'UC4-verso'!AR32,COUNTIFS(D32:AQ32,"|")))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IF(B33="","",IF('UC5-frente'!$I$13='UC4-frente'!$I$13,COUNTIFS(D33:AQ33,"|")+'UC4-verso'!AR33,COUNTIFS(D33:AQ33,"|")))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IF(B34="","",IF('UC5-frente'!$I$13='UC4-frente'!$I$13,COUNTIFS(D34:AQ34,"|")+'UC4-verso'!AR34,COUNTIFS(D34:AQ34,"|")))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04"/>
      <c r="D36" s="10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04"/>
      <c r="B38" s="104"/>
      <c r="C38" s="104"/>
      <c r="D38" s="10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04"/>
      <c r="B40" s="104"/>
      <c r="C40" s="104"/>
      <c r="D40" s="10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protectedRanges>
    <protectedRange sqref="D1:AQ34 AS3:AS34" name="Intervalo1"/>
  </protectedRanges>
  <mergeCells count="52">
    <mergeCell ref="B7:C7"/>
    <mergeCell ref="A1:A2"/>
    <mergeCell ref="B1:B2"/>
    <mergeCell ref="AR1:AR2"/>
    <mergeCell ref="AU1:AU2"/>
    <mergeCell ref="B3:C3"/>
    <mergeCell ref="B4:C4"/>
    <mergeCell ref="B5:C5"/>
    <mergeCell ref="B6:C6"/>
    <mergeCell ref="AS1:AS2"/>
    <mergeCell ref="AT1:AT2"/>
    <mergeCell ref="D1:P1"/>
    <mergeCell ref="Q1:AH1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P39:AU39"/>
    <mergeCell ref="M40:X40"/>
    <mergeCell ref="AA40:AL40"/>
    <mergeCell ref="AP40:AU40"/>
    <mergeCell ref="B32:C32"/>
    <mergeCell ref="B33:C33"/>
    <mergeCell ref="B34:C34"/>
    <mergeCell ref="A36:B36"/>
    <mergeCell ref="A37:D37"/>
    <mergeCell ref="A39:D39"/>
    <mergeCell ref="A41:C41"/>
    <mergeCell ref="A43:P43"/>
    <mergeCell ref="M39:X39"/>
    <mergeCell ref="AA39:AL39"/>
    <mergeCell ref="A44:AE45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tabSelected="1" zoomScaleNormal="100" workbookViewId="0">
      <selection activeCell="A3" sqref="A3:B3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64"/>
      <c r="B3" s="14"/>
      <c r="C3" s="245"/>
      <c r="D3" s="129"/>
      <c r="E3" s="129"/>
      <c r="F3" s="129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64"/>
      <c r="B4" s="14"/>
      <c r="C4" s="245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/>
      <c r="D5" s="129"/>
      <c r="E5" s="129"/>
      <c r="F5" s="129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245"/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228"/>
      <c r="D9" s="271"/>
      <c r="E9" s="271"/>
      <c r="F9" s="271"/>
      <c r="G9" s="4"/>
      <c r="H9" s="5"/>
      <c r="I9" s="112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/>
      <c r="B10" s="14"/>
      <c r="C10" s="272"/>
      <c r="D10" s="273"/>
      <c r="E10" s="273"/>
      <c r="F10" s="274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59"/>
      <c r="D11" s="275"/>
      <c r="E11" s="275"/>
      <c r="F11" s="275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/>
      <c r="B12" s="14"/>
      <c r="C12" s="129"/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/>
      <c r="D13" s="129"/>
      <c r="E13" s="129"/>
      <c r="F13" s="129"/>
      <c r="G13" s="4"/>
      <c r="H13" s="5"/>
      <c r="I13" s="178" t="s">
        <v>75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/>
      <c r="B14" s="14"/>
      <c r="C14" s="234"/>
      <c r="D14" s="131"/>
      <c r="E14" s="131"/>
      <c r="F14" s="132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/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64"/>
      <c r="B16" s="14"/>
      <c r="C16" s="234"/>
      <c r="D16" s="131"/>
      <c r="E16" s="131"/>
      <c r="F16" s="132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/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/>
      <c r="B18" s="14"/>
      <c r="C18" s="234"/>
      <c r="D18" s="131"/>
      <c r="E18" s="131"/>
      <c r="F18" s="132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/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234"/>
      <c r="D20" s="131"/>
      <c r="E20" s="131"/>
      <c r="F20" s="132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>
        <f>VLOOKUP(I13,DADOS_GERAIS!C52:D61,2,0)</f>
        <v>50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13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 t="str">
        <f>IF(A3="","___/___/___",A3)</f>
        <v>___/___/___</v>
      </c>
      <c r="J45" s="226"/>
      <c r="K45" s="227"/>
      <c r="L45" s="225" t="str">
        <f>IF(A3="","___/___/___",IF(I13='UC7-frente'!I13,'UC7-frente'!L45,MAX(A3:A45)))</f>
        <v>___/___/___</v>
      </c>
      <c r="M45" s="227"/>
      <c r="N45" s="137" t="str">
        <f>IF(A3="","",IF(I13='UC5-frente'!I13,SUM(B3:B45)+'UC5-frente'!N45,SUM(B3:B45)))</f>
        <v/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C44:F44"/>
    <mergeCell ref="I44:K44"/>
    <mergeCell ref="L44:M44"/>
    <mergeCell ref="N44:P44"/>
    <mergeCell ref="C45:F45"/>
    <mergeCell ref="I45:K45"/>
    <mergeCell ref="L45:M45"/>
    <mergeCell ref="N45:P45"/>
    <mergeCell ref="C42:F42"/>
    <mergeCell ref="L42:L43"/>
    <mergeCell ref="M42:M43"/>
    <mergeCell ref="N42:P43"/>
    <mergeCell ref="C43:F43"/>
    <mergeCell ref="I43:K43"/>
    <mergeCell ref="C40:F40"/>
    <mergeCell ref="L40:L41"/>
    <mergeCell ref="M40:M41"/>
    <mergeCell ref="N40:P41"/>
    <mergeCell ref="C41:F41"/>
    <mergeCell ref="I41:K41"/>
    <mergeCell ref="C38:F38"/>
    <mergeCell ref="L38:L39"/>
    <mergeCell ref="M38:M39"/>
    <mergeCell ref="N38:P39"/>
    <mergeCell ref="C39:F39"/>
    <mergeCell ref="I39:K39"/>
    <mergeCell ref="C36:F36"/>
    <mergeCell ref="L36:L37"/>
    <mergeCell ref="M36:M37"/>
    <mergeCell ref="N36:P37"/>
    <mergeCell ref="C37:F37"/>
    <mergeCell ref="I37:K37"/>
    <mergeCell ref="C34:F34"/>
    <mergeCell ref="L34:L35"/>
    <mergeCell ref="M34:M35"/>
    <mergeCell ref="N34:P35"/>
    <mergeCell ref="C35:F35"/>
    <mergeCell ref="I35:K35"/>
    <mergeCell ref="C32:F32"/>
    <mergeCell ref="L32:L33"/>
    <mergeCell ref="M32:M33"/>
    <mergeCell ref="N32:P33"/>
    <mergeCell ref="C33:F33"/>
    <mergeCell ref="I33:K33"/>
    <mergeCell ref="C29:F29"/>
    <mergeCell ref="I29:P30"/>
    <mergeCell ref="C30:F30"/>
    <mergeCell ref="C31:F31"/>
    <mergeCell ref="I31:K31"/>
    <mergeCell ref="N31:P31"/>
    <mergeCell ref="C24:F24"/>
    <mergeCell ref="I24:P24"/>
    <mergeCell ref="C25:F25"/>
    <mergeCell ref="I25:P28"/>
    <mergeCell ref="C26:F26"/>
    <mergeCell ref="C27:F27"/>
    <mergeCell ref="C28:F28"/>
    <mergeCell ref="C21:F21"/>
    <mergeCell ref="I21:J21"/>
    <mergeCell ref="K21:P21"/>
    <mergeCell ref="C22:F22"/>
    <mergeCell ref="K22:P22"/>
    <mergeCell ref="C23:F23"/>
    <mergeCell ref="I23:J23"/>
    <mergeCell ref="K23:P23"/>
    <mergeCell ref="C19:F19"/>
    <mergeCell ref="I19:J19"/>
    <mergeCell ref="K19:L19"/>
    <mergeCell ref="M19:O19"/>
    <mergeCell ref="C20:F20"/>
    <mergeCell ref="I20:J20"/>
    <mergeCell ref="K20:L20"/>
    <mergeCell ref="M20:O20"/>
    <mergeCell ref="C17:F17"/>
    <mergeCell ref="I17:J17"/>
    <mergeCell ref="K17:P17"/>
    <mergeCell ref="C18:F18"/>
    <mergeCell ref="I18:J18"/>
    <mergeCell ref="K18:L18"/>
    <mergeCell ref="M18:O18"/>
    <mergeCell ref="C14:F14"/>
    <mergeCell ref="I14:P14"/>
    <mergeCell ref="C15:F15"/>
    <mergeCell ref="I15:P16"/>
    <mergeCell ref="C16:F16"/>
    <mergeCell ref="C10:F10"/>
    <mergeCell ref="I10:P10"/>
    <mergeCell ref="C11:F11"/>
    <mergeCell ref="I11:P11"/>
    <mergeCell ref="C12:F12"/>
    <mergeCell ref="I12:P12"/>
    <mergeCell ref="C9:F9"/>
    <mergeCell ref="M9:N9"/>
    <mergeCell ref="C4:F4"/>
    <mergeCell ref="C5:F5"/>
    <mergeCell ref="I5:P5"/>
    <mergeCell ref="C6:F6"/>
    <mergeCell ref="I6:P6"/>
    <mergeCell ref="C7:F7"/>
    <mergeCell ref="C13:F13"/>
    <mergeCell ref="I13:P13"/>
    <mergeCell ref="A1:A2"/>
    <mergeCell ref="B1:B2"/>
    <mergeCell ref="C1:F2"/>
    <mergeCell ref="L1:P1"/>
    <mergeCell ref="L2:P2"/>
    <mergeCell ref="C3:F3"/>
    <mergeCell ref="L3:P3"/>
    <mergeCell ref="C8:F8"/>
    <mergeCell ref="I8:J8"/>
    <mergeCell ref="K8:L8"/>
    <mergeCell ref="M8:N8"/>
  </mergeCells>
  <conditionalFormatting sqref="I6:P6 O9:P9 I18 I11 I21 I23 K23 I15">
    <cfRule type="cellIs" dxfId="9" priority="2" operator="equal">
      <formula>0</formula>
    </cfRule>
  </conditionalFormatting>
  <conditionalFormatting sqref="I13">
    <cfRule type="cellIs" dxfId="8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5361" r:id="rId4">
          <objectPr defaultSize="0" autoPict="0" r:id="rId5">
            <anchor moveWithCells="1" sizeWithCells="1">
              <from>
                <xdr:col>8</xdr:col>
                <xdr:colOff>9525</xdr:colOff>
                <xdr:row>0</xdr:row>
                <xdr:rowOff>28575</xdr:rowOff>
              </from>
              <to>
                <xdr:col>10</xdr:col>
                <xdr:colOff>590550</xdr:colOff>
                <xdr:row>2</xdr:row>
                <xdr:rowOff>95250</xdr:rowOff>
              </to>
            </anchor>
          </objectPr>
        </oleObject>
      </mc:Choice>
      <mc:Fallback>
        <oleObject progId="MSPhotoEd.3" shapeId="15361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B17" sqref="B17:C17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7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IF(B3="","",IF('UC6-frente'!$I$13='UC5-frente'!$I$13,COUNTIFS(D3:AQ3,"|")+'UC5-verso'!AR3,COUNTIFS(D3:AQ3,"|")))</f>
        <v>3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IF(B4="","",IF('UC6-frente'!$I$13='UC5-frente'!$I$13,COUNTIFS(D4:AQ4,"|")+'UC5-verso'!AR4,COUNTIFS(D4:AQ4,"|")))</f>
        <v>37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IF(B5="","",IF('UC6-frente'!$I$13='UC5-frente'!$I$13,COUNTIFS(D5:AQ5,"|")+'UC5-verso'!AR5,COUNTIFS(D5:AQ5,"|")))</f>
        <v>16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IF(B6="","",IF('UC6-frente'!$I$13='UC5-frente'!$I$13,COUNTIFS(D6:AQ6,"|")+'UC5-verso'!AR6,COUNTIFS(D6:AQ6,"|")))</f>
        <v>12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IF(B7="","",IF('UC6-frente'!$I$13='UC5-frente'!$I$13,COUNTIFS(D7:AQ7,"|")+'UC5-verso'!AR7,COUNTIFS(D7:AQ7,"|")))</f>
        <v>27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IF(B8="","",IF('UC6-frente'!$I$13='UC5-frente'!$I$13,COUNTIFS(D8:AQ8,"|")+'UC5-verso'!AR8,COUNTIFS(D8:AQ8,"|")))</f>
        <v>37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IF(B9="","",IF('UC6-frente'!$I$13='UC5-frente'!$I$13,COUNTIFS(D9:AQ9,"|")+'UC5-verso'!AR9,COUNTIFS(D9:AQ9,"|")))</f>
        <v>9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IF(B10="","",IF('UC6-frente'!$I$13='UC5-frente'!$I$13,COUNTIFS(D10:AQ10,"|")+'UC5-verso'!AR10,COUNTIFS(D10:AQ10,"|")))</f>
        <v>6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IF(B11="","",IF('UC6-frente'!$I$13='UC5-frente'!$I$13,COUNTIFS(D11:AQ11,"|")+'UC5-verso'!AR11,COUNTIFS(D11:AQ11,"|")))</f>
        <v>37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IF(B12="","",IF('UC6-frente'!$I$13='UC5-frente'!$I$13,COUNTIFS(D12:AQ12,"|")+'UC5-verso'!AR12,COUNTIFS(D12:AQ12,"|")))</f>
        <v>28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IF(B13="","",IF('UC6-frente'!$I$13='UC5-frente'!$I$13,COUNTIFS(D13:AQ13,"|")+'UC5-verso'!AR13,COUNTIFS(D13:AQ13,"|")))</f>
        <v>37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IF(B14="","",IF('UC6-frente'!$I$13='UC5-frente'!$I$13,COUNTIFS(D14:AQ14,"|")+'UC5-verso'!AR14,COUNTIFS(D14:AQ14,"|")))</f>
        <v>12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IF(B15="","",IF('UC6-frente'!$I$13='UC5-frente'!$I$13,COUNTIFS(D15:AQ15,"|")+'UC5-verso'!AR15,COUNTIFS(D15:AQ15,"|")))</f>
        <v>12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IF(B16="","",IF('UC6-frente'!$I$13='UC5-frente'!$I$13,COUNTIFS(D16:AQ16,"|")+'UC5-verso'!AR16,COUNTIFS(D16:AQ16,"|")))</f>
        <v>31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IF(B17="","",IF('UC6-frente'!$I$13='UC5-frente'!$I$13,COUNTIFS(D17:AQ17,"|")+'UC5-verso'!AR17,COUNTIFS(D17:AQ17,"|")))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IF(B18="","",IF('UC6-frente'!$I$13='UC5-frente'!$I$13,COUNTIFS(D18:AQ18,"|")+'UC5-verso'!AR18,COUNTIFS(D18:AQ18,"|")))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IF(B19="","",IF('UC6-frente'!$I$13='UC5-frente'!$I$13,COUNTIFS(D19:AQ19,"|")+'UC5-verso'!AR19,COUNTIFS(D19:AQ19,"|")))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IF(B20="","",IF('UC6-frente'!$I$13='UC5-frente'!$I$13,COUNTIFS(D20:AQ20,"|")+'UC5-verso'!AR20,COUNTIFS(D20:AQ20,"|")))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IF(B21="","",IF('UC6-frente'!$I$13='UC5-frente'!$I$13,COUNTIFS(D21:AQ21,"|")+'UC5-verso'!AR21,COUNTIFS(D21:AQ21,"|")))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IF(B22="","",IF('UC6-frente'!$I$13='UC5-frente'!$I$13,COUNTIFS(D22:AQ22,"|")+'UC5-verso'!AR22,COUNTIFS(D22:AQ22,"|")))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IF(B23="","",IF('UC6-frente'!$I$13='UC5-frente'!$I$13,COUNTIFS(D23:AQ23,"|")+'UC5-verso'!AR23,COUNTIFS(D23:AQ23,"|")))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IF(B24="","",IF('UC6-frente'!$I$13='UC5-frente'!$I$13,COUNTIFS(D24:AQ24,"|")+'UC5-verso'!AR24,COUNTIFS(D24:AQ24,"|")))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IF(B25="","",IF('UC6-frente'!$I$13='UC5-frente'!$I$13,COUNTIFS(D25:AQ25,"|")+'UC5-verso'!AR25,COUNTIFS(D25:AQ25,"|")))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IF(B26="","",IF('UC6-frente'!$I$13='UC5-frente'!$I$13,COUNTIFS(D26:AQ26,"|")+'UC5-verso'!AR26,COUNTIFS(D26:AQ26,"|")))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IF(B27="","",IF('UC6-frente'!$I$13='UC5-frente'!$I$13,COUNTIFS(D27:AQ27,"|")+'UC5-verso'!AR27,COUNTIFS(D27:AQ27,"|")))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IF(B28="","",IF('UC6-frente'!$I$13='UC5-frente'!$I$13,COUNTIFS(D28:AQ28,"|")+'UC5-verso'!AR28,COUNTIFS(D28:AQ28,"|")))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IF(B29="","",IF('UC6-frente'!$I$13='UC5-frente'!$I$13,COUNTIFS(D29:AQ29,"|")+'UC5-verso'!AR29,COUNTIFS(D29:AQ29,"|")))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IF(B30="","",IF('UC6-frente'!$I$13='UC5-frente'!$I$13,COUNTIFS(D30:AQ30,"|")+'UC5-verso'!AR30,COUNTIFS(D30:AQ30,"|")))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IF(B31="","",IF('UC6-frente'!$I$13='UC5-frente'!$I$13,COUNTIFS(D31:AQ31,"|")+'UC5-verso'!AR31,COUNTIFS(D31:AQ31,"|")))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IF(B32="","",IF('UC6-frente'!$I$13='UC5-frente'!$I$13,COUNTIFS(D32:AQ32,"|")+'UC5-verso'!AR32,COUNTIFS(D32:AQ32,"|")))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IF(B33="","",IF('UC6-frente'!$I$13='UC5-frente'!$I$13,COUNTIFS(D33:AQ33,"|")+'UC5-verso'!AR33,COUNTIFS(D33:AQ33,"|")))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IF(B34="","",IF('UC6-frente'!$I$13='UC5-frente'!$I$13,COUNTIFS(D34:AQ34,"|")+'UC5-verso'!AR34,COUNTIFS(D34:AQ34,"|")))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14"/>
      <c r="D36" s="11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14"/>
      <c r="B38" s="114"/>
      <c r="C38" s="114"/>
      <c r="D38" s="11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10</v>
      </c>
      <c r="AQ39" s="213"/>
      <c r="AR39" s="213"/>
      <c r="AS39" s="213"/>
      <c r="AT39" s="213"/>
      <c r="AU39" s="213"/>
    </row>
    <row r="40" spans="1:47" x14ac:dyDescent="0.2">
      <c r="A40" s="114"/>
      <c r="B40" s="114"/>
      <c r="C40" s="114"/>
      <c r="D40" s="11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protectedRanges>
    <protectedRange sqref="D1:AQ34 AS3:AS34" name="Intervalo1"/>
  </protectedRanges>
  <mergeCells count="50">
    <mergeCell ref="A43:P43"/>
    <mergeCell ref="A44:AE45"/>
    <mergeCell ref="AA39:AL39"/>
    <mergeCell ref="AP39:AU39"/>
    <mergeCell ref="M40:X40"/>
    <mergeCell ref="AA40:AL40"/>
    <mergeCell ref="AP40:AU40"/>
    <mergeCell ref="A41:C41"/>
    <mergeCell ref="M39:X39"/>
    <mergeCell ref="B33:C33"/>
    <mergeCell ref="B34:C34"/>
    <mergeCell ref="A36:B36"/>
    <mergeCell ref="A37:D37"/>
    <mergeCell ref="A39:D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T1:AT2"/>
    <mergeCell ref="AU1:AU2"/>
    <mergeCell ref="B8:C8"/>
    <mergeCell ref="A1:A2"/>
    <mergeCell ref="B1:B2"/>
    <mergeCell ref="AR1:AR2"/>
    <mergeCell ref="AS1:AS2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zoomScaleNormal="100" workbookViewId="0">
      <selection activeCell="J4" sqref="J4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64"/>
      <c r="B3" s="14"/>
      <c r="C3" s="245"/>
      <c r="D3" s="129"/>
      <c r="E3" s="129"/>
      <c r="F3" s="129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64"/>
      <c r="B4" s="14"/>
      <c r="C4" s="245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/>
      <c r="D5" s="129"/>
      <c r="E5" s="129"/>
      <c r="F5" s="129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245"/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228"/>
      <c r="D9" s="271"/>
      <c r="E9" s="271"/>
      <c r="F9" s="271"/>
      <c r="G9" s="4"/>
      <c r="H9" s="5"/>
      <c r="I9" s="112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/>
      <c r="B10" s="14"/>
      <c r="C10" s="272"/>
      <c r="D10" s="273"/>
      <c r="E10" s="273"/>
      <c r="F10" s="274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59"/>
      <c r="D11" s="275"/>
      <c r="E11" s="275"/>
      <c r="F11" s="275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/>
      <c r="B12" s="14"/>
      <c r="C12" s="129"/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/>
      <c r="D13" s="129"/>
      <c r="E13" s="129"/>
      <c r="F13" s="129"/>
      <c r="G13" s="4"/>
      <c r="H13" s="5"/>
      <c r="I13" s="178" t="s">
        <v>50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/>
      <c r="B14" s="14"/>
      <c r="C14" s="234"/>
      <c r="D14" s="131"/>
      <c r="E14" s="131"/>
      <c r="F14" s="132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/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64"/>
      <c r="B16" s="14"/>
      <c r="C16" s="234"/>
      <c r="D16" s="131"/>
      <c r="E16" s="131"/>
      <c r="F16" s="132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/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/>
      <c r="B18" s="14"/>
      <c r="C18" s="234"/>
      <c r="D18" s="131"/>
      <c r="E18" s="131"/>
      <c r="F18" s="132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/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234"/>
      <c r="D20" s="131"/>
      <c r="E20" s="131"/>
      <c r="F20" s="132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 t="e">
        <f>VLOOKUP(I13,DADOS_GERAIS!C52:D61,2,0)</f>
        <v>#N/A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13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 t="str">
        <f>IF(A3="","___/___/___",A3)</f>
        <v>___/___/___</v>
      </c>
      <c r="J45" s="226"/>
      <c r="K45" s="227"/>
      <c r="L45" s="225" t="str">
        <f>IF(A3="","___/___/___",IF(I13='UC8-frente'!I13,'UC8-frente'!L45,MAX(A3:A45)))</f>
        <v>___/___/___</v>
      </c>
      <c r="M45" s="227"/>
      <c r="N45" s="137" t="str">
        <f>IF(A3="","",IF(I13='UC6-frente'!I13,SUM(B3:B45)+'UC6-frente'!N45,SUM(B3:B45)))</f>
        <v/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C44:F44"/>
    <mergeCell ref="I44:K44"/>
    <mergeCell ref="L44:M44"/>
    <mergeCell ref="N44:P44"/>
    <mergeCell ref="C45:F45"/>
    <mergeCell ref="I45:K45"/>
    <mergeCell ref="L45:M45"/>
    <mergeCell ref="N45:P45"/>
    <mergeCell ref="C42:F42"/>
    <mergeCell ref="L42:L43"/>
    <mergeCell ref="M42:M43"/>
    <mergeCell ref="N42:P43"/>
    <mergeCell ref="C43:F43"/>
    <mergeCell ref="I43:K43"/>
    <mergeCell ref="C40:F40"/>
    <mergeCell ref="L40:L41"/>
    <mergeCell ref="M40:M41"/>
    <mergeCell ref="N40:P41"/>
    <mergeCell ref="C41:F41"/>
    <mergeCell ref="I41:K41"/>
    <mergeCell ref="C38:F38"/>
    <mergeCell ref="L38:L39"/>
    <mergeCell ref="M38:M39"/>
    <mergeCell ref="N38:P39"/>
    <mergeCell ref="C39:F39"/>
    <mergeCell ref="I39:K39"/>
    <mergeCell ref="C36:F36"/>
    <mergeCell ref="L36:L37"/>
    <mergeCell ref="M36:M37"/>
    <mergeCell ref="N36:P37"/>
    <mergeCell ref="C37:F37"/>
    <mergeCell ref="I37:K37"/>
    <mergeCell ref="C34:F34"/>
    <mergeCell ref="L34:L35"/>
    <mergeCell ref="M34:M35"/>
    <mergeCell ref="N34:P35"/>
    <mergeCell ref="C35:F35"/>
    <mergeCell ref="I35:K35"/>
    <mergeCell ref="C32:F32"/>
    <mergeCell ref="L32:L33"/>
    <mergeCell ref="M32:M33"/>
    <mergeCell ref="N32:P33"/>
    <mergeCell ref="C33:F33"/>
    <mergeCell ref="I33:K33"/>
    <mergeCell ref="C29:F29"/>
    <mergeCell ref="I29:P30"/>
    <mergeCell ref="C30:F30"/>
    <mergeCell ref="C31:F31"/>
    <mergeCell ref="I31:K31"/>
    <mergeCell ref="N31:P31"/>
    <mergeCell ref="C24:F24"/>
    <mergeCell ref="I24:P24"/>
    <mergeCell ref="C25:F25"/>
    <mergeCell ref="I25:P28"/>
    <mergeCell ref="C26:F26"/>
    <mergeCell ref="C27:F27"/>
    <mergeCell ref="C28:F28"/>
    <mergeCell ref="C21:F21"/>
    <mergeCell ref="I21:J21"/>
    <mergeCell ref="K21:P21"/>
    <mergeCell ref="C22:F22"/>
    <mergeCell ref="K22:P22"/>
    <mergeCell ref="C23:F23"/>
    <mergeCell ref="I23:J23"/>
    <mergeCell ref="K23:P23"/>
    <mergeCell ref="C19:F19"/>
    <mergeCell ref="I19:J19"/>
    <mergeCell ref="K19:L19"/>
    <mergeCell ref="M19:O19"/>
    <mergeCell ref="C20:F20"/>
    <mergeCell ref="I20:J20"/>
    <mergeCell ref="K20:L20"/>
    <mergeCell ref="M20:O20"/>
    <mergeCell ref="C17:F17"/>
    <mergeCell ref="I17:J17"/>
    <mergeCell ref="K17:P17"/>
    <mergeCell ref="C18:F18"/>
    <mergeCell ref="I18:J18"/>
    <mergeCell ref="K18:L18"/>
    <mergeCell ref="M18:O18"/>
    <mergeCell ref="C14:F14"/>
    <mergeCell ref="I14:P14"/>
    <mergeCell ref="C15:F15"/>
    <mergeCell ref="I15:P16"/>
    <mergeCell ref="C16:F16"/>
    <mergeCell ref="C10:F10"/>
    <mergeCell ref="I10:P10"/>
    <mergeCell ref="C11:F11"/>
    <mergeCell ref="I11:P11"/>
    <mergeCell ref="C12:F12"/>
    <mergeCell ref="I12:P12"/>
    <mergeCell ref="C9:F9"/>
    <mergeCell ref="M9:N9"/>
    <mergeCell ref="C4:F4"/>
    <mergeCell ref="C5:F5"/>
    <mergeCell ref="I5:P5"/>
    <mergeCell ref="C6:F6"/>
    <mergeCell ref="I6:P6"/>
    <mergeCell ref="C7:F7"/>
    <mergeCell ref="C13:F13"/>
    <mergeCell ref="I13:P13"/>
    <mergeCell ref="A1:A2"/>
    <mergeCell ref="B1:B2"/>
    <mergeCell ref="C1:F2"/>
    <mergeCell ref="L1:P1"/>
    <mergeCell ref="L2:P2"/>
    <mergeCell ref="C3:F3"/>
    <mergeCell ref="L3:P3"/>
    <mergeCell ref="C8:F8"/>
    <mergeCell ref="I8:J8"/>
    <mergeCell ref="K8:L8"/>
    <mergeCell ref="M8:N8"/>
  </mergeCells>
  <conditionalFormatting sqref="I6:P6 O9:P9 I18 I11 I21 I23 K23 I15">
    <cfRule type="cellIs" dxfId="7" priority="2" operator="equal">
      <formula>0</formula>
    </cfRule>
  </conditionalFormatting>
  <conditionalFormatting sqref="I13">
    <cfRule type="cellIs" dxfId="6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7409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7409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AR3" sqref="AR3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7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IF(B3="","",IF('UC7-frente'!$I$13='UC6-frente'!$I$13,COUNTIFS(D3:AQ3,"|")+'UC6-verso'!AR3,COUNTIFS(D3:AQ3,"|")))</f>
        <v>0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IF(B4="","",IF('UC7-frente'!$I$13='UC6-frente'!$I$13,COUNTIFS(D4:AQ4,"|")+'UC6-verso'!AR4,COUNTIFS(D4:AQ4,"|")))</f>
        <v>0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IF(B5="","",IF('UC7-frente'!$I$13='UC6-frente'!$I$13,COUNTIFS(D5:AQ5,"|")+'UC6-verso'!AR5,COUNTIFS(D5:AQ5,"|")))</f>
        <v>0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IF(B6="","",IF('UC7-frente'!$I$13='UC6-frente'!$I$13,COUNTIFS(D6:AQ6,"|")+'UC6-verso'!AR6,COUNTIFS(D6:AQ6,"|")))</f>
        <v>0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IF(B7="","",IF('UC7-frente'!$I$13='UC6-frente'!$I$13,COUNTIFS(D7:AQ7,"|")+'UC6-verso'!AR7,COUNTIFS(D7:AQ7,"|")))</f>
        <v>0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IF(B8="","",IF('UC7-frente'!$I$13='UC6-frente'!$I$13,COUNTIFS(D8:AQ8,"|")+'UC6-verso'!AR8,COUNTIFS(D8:AQ8,"|")))</f>
        <v>0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IF(B9="","",IF('UC7-frente'!$I$13='UC6-frente'!$I$13,COUNTIFS(D9:AQ9,"|")+'UC6-verso'!AR9,COUNTIFS(D9:AQ9,"|")))</f>
        <v>0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IF(B10="","",IF('UC7-frente'!$I$13='UC6-frente'!$I$13,COUNTIFS(D10:AQ10,"|")+'UC6-verso'!AR10,COUNTIFS(D10:AQ10,"|")))</f>
        <v>0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IF(B11="","",IF('UC7-frente'!$I$13='UC6-frente'!$I$13,COUNTIFS(D11:AQ11,"|")+'UC6-verso'!AR11,COUNTIFS(D11:AQ11,"|")))</f>
        <v>0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IF(B12="","",IF('UC7-frente'!$I$13='UC6-frente'!$I$13,COUNTIFS(D12:AQ12,"|")+'UC6-verso'!AR12,COUNTIFS(D12:AQ12,"|")))</f>
        <v>0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IF(B13="","",IF('UC7-frente'!$I$13='UC6-frente'!$I$13,COUNTIFS(D13:AQ13,"|")+'UC6-verso'!AR13,COUNTIFS(D13:AQ13,"|")))</f>
        <v>0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IF(B14="","",IF('UC7-frente'!$I$13='UC6-frente'!$I$13,COUNTIFS(D14:AQ14,"|")+'UC6-verso'!AR14,COUNTIFS(D14:AQ14,"|")))</f>
        <v>0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IF(B15="","",IF('UC7-frente'!$I$13='UC6-frente'!$I$13,COUNTIFS(D15:AQ15,"|")+'UC6-verso'!AR15,COUNTIFS(D15:AQ15,"|")))</f>
        <v>0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IF(B16="","",IF('UC7-frente'!$I$13='UC6-frente'!$I$13,COUNTIFS(D16:AQ16,"|")+'UC6-verso'!AR16,COUNTIFS(D16:AQ16,"|")))</f>
        <v>0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IF(B17="","",IF('UC7-frente'!$I$13='UC6-frente'!$I$13,COUNTIFS(D17:AQ17,"|")+'UC6-verso'!AR17,COUNTIFS(D17:AQ17,"|")))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IF(B18="","",IF('UC7-frente'!$I$13='UC6-frente'!$I$13,COUNTIFS(D18:AQ18,"|")+'UC6-verso'!AR18,COUNTIFS(D18:AQ18,"|")))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IF(B19="","",IF('UC7-frente'!$I$13='UC6-frente'!$I$13,COUNTIFS(D19:AQ19,"|")+'UC6-verso'!AR19,COUNTIFS(D19:AQ19,"|")))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IF(B20="","",IF('UC7-frente'!$I$13='UC6-frente'!$I$13,COUNTIFS(D20:AQ20,"|")+'UC6-verso'!AR20,COUNTIFS(D20:AQ20,"|")))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IF(B21="","",IF('UC7-frente'!$I$13='UC6-frente'!$I$13,COUNTIFS(D21:AQ21,"|")+'UC6-verso'!AR21,COUNTIFS(D21:AQ21,"|")))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IF(B22="","",IF('UC7-frente'!$I$13='UC6-frente'!$I$13,COUNTIFS(D22:AQ22,"|")+'UC6-verso'!AR22,COUNTIFS(D22:AQ22,"|")))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IF(B23="","",IF('UC7-frente'!$I$13='UC6-frente'!$I$13,COUNTIFS(D23:AQ23,"|")+'UC6-verso'!AR23,COUNTIFS(D23:AQ23,"|")))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IF(B24="","",IF('UC7-frente'!$I$13='UC6-frente'!$I$13,COUNTIFS(D24:AQ24,"|")+'UC6-verso'!AR24,COUNTIFS(D24:AQ24,"|")))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IF(B25="","",IF('UC7-frente'!$I$13='UC6-frente'!$I$13,COUNTIFS(D25:AQ25,"|")+'UC6-verso'!AR25,COUNTIFS(D25:AQ25,"|")))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IF(B26="","",IF('UC7-frente'!$I$13='UC6-frente'!$I$13,COUNTIFS(D26:AQ26,"|")+'UC6-verso'!AR26,COUNTIFS(D26:AQ26,"|")))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IF(B27="","",IF('UC7-frente'!$I$13='UC6-frente'!$I$13,COUNTIFS(D27:AQ27,"|")+'UC6-verso'!AR27,COUNTIFS(D27:AQ27,"|")))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IF(B28="","",IF('UC7-frente'!$I$13='UC6-frente'!$I$13,COUNTIFS(D28:AQ28,"|")+'UC6-verso'!AR28,COUNTIFS(D28:AQ28,"|")))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IF(B29="","",IF('UC7-frente'!$I$13='UC6-frente'!$I$13,COUNTIFS(D29:AQ29,"|")+'UC6-verso'!AR29,COUNTIFS(D29:AQ29,"|")))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IF(B30="","",IF('UC7-frente'!$I$13='UC6-frente'!$I$13,COUNTIFS(D30:AQ30,"|")+'UC6-verso'!AR30,COUNTIFS(D30:AQ30,"|")))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IF(B31="","",IF('UC7-frente'!$I$13='UC6-frente'!$I$13,COUNTIFS(D31:AQ31,"|")+'UC6-verso'!AR31,COUNTIFS(D31:AQ31,"|")))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IF(B32="","",IF('UC7-frente'!$I$13='UC6-frente'!$I$13,COUNTIFS(D32:AQ32,"|")+'UC6-verso'!AR32,COUNTIFS(D32:AQ32,"|")))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IF(B33="","",IF('UC7-frente'!$I$13='UC6-frente'!$I$13,COUNTIFS(D33:AQ33,"|")+'UC6-verso'!AR33,COUNTIFS(D33:AQ33,"|")))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IF(B34="","",IF('UC7-frente'!$I$13='UC6-frente'!$I$13,COUNTIFS(D34:AQ34,"|")+'UC6-verso'!AR34,COUNTIFS(D34:AQ34,"|")))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14"/>
      <c r="D36" s="11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14"/>
      <c r="B38" s="114"/>
      <c r="C38" s="114"/>
      <c r="D38" s="11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35</v>
      </c>
      <c r="AQ39" s="213"/>
      <c r="AR39" s="213"/>
      <c r="AS39" s="213"/>
      <c r="AT39" s="213"/>
      <c r="AU39" s="213"/>
    </row>
    <row r="40" spans="1:47" x14ac:dyDescent="0.2">
      <c r="A40" s="114"/>
      <c r="B40" s="114"/>
      <c r="C40" s="114"/>
      <c r="D40" s="11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D1:AQ34 AS3:AS34" name="Intervalo1"/>
  </protectedRanges>
  <mergeCells count="50">
    <mergeCell ref="A43:P43"/>
    <mergeCell ref="A44:AE45"/>
    <mergeCell ref="AA39:AL39"/>
    <mergeCell ref="AP39:AU39"/>
    <mergeCell ref="M40:X40"/>
    <mergeCell ref="AA40:AL40"/>
    <mergeCell ref="AP40:AU40"/>
    <mergeCell ref="A41:C41"/>
    <mergeCell ref="M39:X39"/>
    <mergeCell ref="B33:C33"/>
    <mergeCell ref="B34:C34"/>
    <mergeCell ref="A36:B36"/>
    <mergeCell ref="A37:D37"/>
    <mergeCell ref="A39:D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T1:AT2"/>
    <mergeCell ref="AU1:AU2"/>
    <mergeCell ref="B8:C8"/>
    <mergeCell ref="A1:A2"/>
    <mergeCell ref="B1:B2"/>
    <mergeCell ref="AR1:AR2"/>
    <mergeCell ref="AS1:AS2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zoomScaleNormal="100" workbookViewId="0">
      <selection activeCell="L46" sqref="L46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64"/>
      <c r="B3" s="14"/>
      <c r="C3" s="245"/>
      <c r="D3" s="129"/>
      <c r="E3" s="129"/>
      <c r="F3" s="129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64"/>
      <c r="B4" s="14"/>
      <c r="C4" s="245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/>
      <c r="D5" s="129"/>
      <c r="E5" s="129"/>
      <c r="F5" s="129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245"/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228"/>
      <c r="D9" s="271"/>
      <c r="E9" s="271"/>
      <c r="F9" s="271"/>
      <c r="G9" s="4"/>
      <c r="H9" s="5"/>
      <c r="I9" s="112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/>
      <c r="B10" s="14"/>
      <c r="C10" s="272"/>
      <c r="D10" s="273"/>
      <c r="E10" s="273"/>
      <c r="F10" s="274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59"/>
      <c r="D11" s="275"/>
      <c r="E11" s="275"/>
      <c r="F11" s="275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/>
      <c r="B12" s="14"/>
      <c r="C12" s="129"/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/>
      <c r="D13" s="129"/>
      <c r="E13" s="129"/>
      <c r="F13" s="129"/>
      <c r="G13" s="4"/>
      <c r="H13" s="5"/>
      <c r="I13" s="178" t="s">
        <v>50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/>
      <c r="B14" s="14"/>
      <c r="C14" s="234"/>
      <c r="D14" s="131"/>
      <c r="E14" s="131"/>
      <c r="F14" s="132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/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64"/>
      <c r="B16" s="14"/>
      <c r="C16" s="234"/>
      <c r="D16" s="131"/>
      <c r="E16" s="131"/>
      <c r="F16" s="132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/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/>
      <c r="B18" s="14"/>
      <c r="C18" s="234"/>
      <c r="D18" s="131"/>
      <c r="E18" s="131"/>
      <c r="F18" s="132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/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234"/>
      <c r="D20" s="131"/>
      <c r="E20" s="131"/>
      <c r="F20" s="132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 t="e">
        <f>VLOOKUP(I13,DADOS_GERAIS!C52:D61,2,0)</f>
        <v>#N/A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13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 t="str">
        <f>IF(A3="","___/___/___",A3)</f>
        <v>___/___/___</v>
      </c>
      <c r="J45" s="226"/>
      <c r="K45" s="227"/>
      <c r="L45" s="225" t="str">
        <f>IF(A3="","___/___/___",IF(I13='UC9-frente'!I13,'UC9-frente'!L45,MAX(A3:A45)))</f>
        <v>___/___/___</v>
      </c>
      <c r="M45" s="227"/>
      <c r="N45" s="137" t="str">
        <f>IF(A3="","",IF(I13='UC7-frente'!I13,SUM(B3:B45)+'UC7-frente'!N45,SUM(B3:B45)))</f>
        <v/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C44:F44"/>
    <mergeCell ref="I44:K44"/>
    <mergeCell ref="L44:M44"/>
    <mergeCell ref="N44:P44"/>
    <mergeCell ref="C45:F45"/>
    <mergeCell ref="I45:K45"/>
    <mergeCell ref="L45:M45"/>
    <mergeCell ref="N45:P45"/>
    <mergeCell ref="C42:F42"/>
    <mergeCell ref="L42:L43"/>
    <mergeCell ref="M42:M43"/>
    <mergeCell ref="N42:P43"/>
    <mergeCell ref="C43:F43"/>
    <mergeCell ref="I43:K43"/>
    <mergeCell ref="C40:F40"/>
    <mergeCell ref="L40:L41"/>
    <mergeCell ref="M40:M41"/>
    <mergeCell ref="N40:P41"/>
    <mergeCell ref="C41:F41"/>
    <mergeCell ref="I41:K41"/>
    <mergeCell ref="C38:F38"/>
    <mergeCell ref="L38:L39"/>
    <mergeCell ref="M38:M39"/>
    <mergeCell ref="N38:P39"/>
    <mergeCell ref="C39:F39"/>
    <mergeCell ref="I39:K39"/>
    <mergeCell ref="C36:F36"/>
    <mergeCell ref="L36:L37"/>
    <mergeCell ref="M36:M37"/>
    <mergeCell ref="N36:P37"/>
    <mergeCell ref="C37:F37"/>
    <mergeCell ref="I37:K37"/>
    <mergeCell ref="C34:F34"/>
    <mergeCell ref="L34:L35"/>
    <mergeCell ref="M34:M35"/>
    <mergeCell ref="N34:P35"/>
    <mergeCell ref="C35:F35"/>
    <mergeCell ref="I35:K35"/>
    <mergeCell ref="C32:F32"/>
    <mergeCell ref="L32:L33"/>
    <mergeCell ref="M32:M33"/>
    <mergeCell ref="N32:P33"/>
    <mergeCell ref="C33:F33"/>
    <mergeCell ref="I33:K33"/>
    <mergeCell ref="C29:F29"/>
    <mergeCell ref="I29:P30"/>
    <mergeCell ref="C30:F30"/>
    <mergeCell ref="C31:F31"/>
    <mergeCell ref="I31:K31"/>
    <mergeCell ref="N31:P31"/>
    <mergeCell ref="C24:F24"/>
    <mergeCell ref="I24:P24"/>
    <mergeCell ref="C25:F25"/>
    <mergeCell ref="I25:P28"/>
    <mergeCell ref="C26:F26"/>
    <mergeCell ref="C27:F27"/>
    <mergeCell ref="C28:F28"/>
    <mergeCell ref="C21:F21"/>
    <mergeCell ref="I21:J21"/>
    <mergeCell ref="K21:P21"/>
    <mergeCell ref="C22:F22"/>
    <mergeCell ref="K22:P22"/>
    <mergeCell ref="C23:F23"/>
    <mergeCell ref="I23:J23"/>
    <mergeCell ref="K23:P23"/>
    <mergeCell ref="C19:F19"/>
    <mergeCell ref="I19:J19"/>
    <mergeCell ref="K19:L19"/>
    <mergeCell ref="M19:O19"/>
    <mergeCell ref="C20:F20"/>
    <mergeCell ref="I20:J20"/>
    <mergeCell ref="K20:L20"/>
    <mergeCell ref="M20:O20"/>
    <mergeCell ref="C17:F17"/>
    <mergeCell ref="I17:J17"/>
    <mergeCell ref="K17:P17"/>
    <mergeCell ref="C18:F18"/>
    <mergeCell ref="I18:J18"/>
    <mergeCell ref="K18:L18"/>
    <mergeCell ref="M18:O18"/>
    <mergeCell ref="C14:F14"/>
    <mergeCell ref="I14:P14"/>
    <mergeCell ref="C15:F15"/>
    <mergeCell ref="I15:P16"/>
    <mergeCell ref="C16:F16"/>
    <mergeCell ref="C10:F10"/>
    <mergeCell ref="I10:P10"/>
    <mergeCell ref="C11:F11"/>
    <mergeCell ref="I11:P11"/>
    <mergeCell ref="C12:F12"/>
    <mergeCell ref="I12:P12"/>
    <mergeCell ref="C9:F9"/>
    <mergeCell ref="M9:N9"/>
    <mergeCell ref="C4:F4"/>
    <mergeCell ref="C5:F5"/>
    <mergeCell ref="I5:P5"/>
    <mergeCell ref="C6:F6"/>
    <mergeCell ref="I6:P6"/>
    <mergeCell ref="C7:F7"/>
    <mergeCell ref="C13:F13"/>
    <mergeCell ref="I13:P13"/>
    <mergeCell ref="A1:A2"/>
    <mergeCell ref="B1:B2"/>
    <mergeCell ref="C1:F2"/>
    <mergeCell ref="L1:P1"/>
    <mergeCell ref="L2:P2"/>
    <mergeCell ref="C3:F3"/>
    <mergeCell ref="L3:P3"/>
    <mergeCell ref="C8:F8"/>
    <mergeCell ref="I8:J8"/>
    <mergeCell ref="K8:L8"/>
    <mergeCell ref="M8:N8"/>
  </mergeCells>
  <conditionalFormatting sqref="I6:P6 O9:P9 I18 I11 I21 I23 K23 I15">
    <cfRule type="cellIs" dxfId="5" priority="2" operator="equal">
      <formula>0</formula>
    </cfRule>
  </conditionalFormatting>
  <conditionalFormatting sqref="I13">
    <cfRule type="cellIs" dxfId="4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9457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9457" r:id="rId4"/>
      </mc:Fallback>
    </mc:AlternateContent>
    <mc:AlternateContent xmlns:mc="http://schemas.openxmlformats.org/markup-compatibility/2006">
      <mc:Choice Requires="x14">
        <oleObject progId="MSPhotoEd.3" shapeId="19458" r:id="rId6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19458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AR3" sqref="AR3:AR34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7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IF(B3="","",IF('UC8-frente'!$I$13='UC7-frente'!$I$13,COUNTIFS(D3:AQ3,"|")+'UC7-verso'!AR3,COUNTIFS(D3:AQ3,"|")))</f>
        <v>0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IF(B4="","",IF('UC8-frente'!$I$13='UC7-frente'!$I$13,COUNTIFS(D4:AQ4,"|")+'UC7-verso'!AR4,COUNTIFS(D4:AQ4,"|")))</f>
        <v>0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IF(B5="","",IF('UC8-frente'!$I$13='UC7-frente'!$I$13,COUNTIFS(D5:AQ5,"|")+'UC7-verso'!AR5,COUNTIFS(D5:AQ5,"|")))</f>
        <v>0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IF(B6="","",IF('UC8-frente'!$I$13='UC7-frente'!$I$13,COUNTIFS(D6:AQ6,"|")+'UC7-verso'!AR6,COUNTIFS(D6:AQ6,"|")))</f>
        <v>0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IF(B7="","",IF('UC8-frente'!$I$13='UC7-frente'!$I$13,COUNTIFS(D7:AQ7,"|")+'UC7-verso'!AR7,COUNTIFS(D7:AQ7,"|")))</f>
        <v>0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IF(B8="","",IF('UC8-frente'!$I$13='UC7-frente'!$I$13,COUNTIFS(D8:AQ8,"|")+'UC7-verso'!AR8,COUNTIFS(D8:AQ8,"|")))</f>
        <v>0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IF(B9="","",IF('UC8-frente'!$I$13='UC7-frente'!$I$13,COUNTIFS(D9:AQ9,"|")+'UC7-verso'!AR9,COUNTIFS(D9:AQ9,"|")))</f>
        <v>0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IF(B10="","",IF('UC8-frente'!$I$13='UC7-frente'!$I$13,COUNTIFS(D10:AQ10,"|")+'UC7-verso'!AR10,COUNTIFS(D10:AQ10,"|")))</f>
        <v>0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IF(B11="","",IF('UC8-frente'!$I$13='UC7-frente'!$I$13,COUNTIFS(D11:AQ11,"|")+'UC7-verso'!AR11,COUNTIFS(D11:AQ11,"|")))</f>
        <v>0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IF(B12="","",IF('UC8-frente'!$I$13='UC7-frente'!$I$13,COUNTIFS(D12:AQ12,"|")+'UC7-verso'!AR12,COUNTIFS(D12:AQ12,"|")))</f>
        <v>0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IF(B13="","",IF('UC8-frente'!$I$13='UC7-frente'!$I$13,COUNTIFS(D13:AQ13,"|")+'UC7-verso'!AR13,COUNTIFS(D13:AQ13,"|")))</f>
        <v>0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IF(B14="","",IF('UC8-frente'!$I$13='UC7-frente'!$I$13,COUNTIFS(D14:AQ14,"|")+'UC7-verso'!AR14,COUNTIFS(D14:AQ14,"|")))</f>
        <v>0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IF(B15="","",IF('UC8-frente'!$I$13='UC7-frente'!$I$13,COUNTIFS(D15:AQ15,"|")+'UC7-verso'!AR15,COUNTIFS(D15:AQ15,"|")))</f>
        <v>0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IF(B16="","",IF('UC8-frente'!$I$13='UC7-frente'!$I$13,COUNTIFS(D16:AQ16,"|")+'UC7-verso'!AR16,COUNTIFS(D16:AQ16,"|")))</f>
        <v>0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IF(B17="","",IF('UC8-frente'!$I$13='UC7-frente'!$I$13,COUNTIFS(D17:AQ17,"|")+'UC7-verso'!AR17,COUNTIFS(D17:AQ17,"|")))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IF(B18="","",IF('UC8-frente'!$I$13='UC7-frente'!$I$13,COUNTIFS(D18:AQ18,"|")+'UC7-verso'!AR18,COUNTIFS(D18:AQ18,"|")))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IF(B19="","",IF('UC8-frente'!$I$13='UC7-frente'!$I$13,COUNTIFS(D19:AQ19,"|")+'UC7-verso'!AR19,COUNTIFS(D19:AQ19,"|")))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IF(B20="","",IF('UC8-frente'!$I$13='UC7-frente'!$I$13,COUNTIFS(D20:AQ20,"|")+'UC7-verso'!AR20,COUNTIFS(D20:AQ20,"|")))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IF(B21="","",IF('UC8-frente'!$I$13='UC7-frente'!$I$13,COUNTIFS(D21:AQ21,"|")+'UC7-verso'!AR21,COUNTIFS(D21:AQ21,"|")))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IF(B22="","",IF('UC8-frente'!$I$13='UC7-frente'!$I$13,COUNTIFS(D22:AQ22,"|")+'UC7-verso'!AR22,COUNTIFS(D22:AQ22,"|")))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IF(B23="","",IF('UC8-frente'!$I$13='UC7-frente'!$I$13,COUNTIFS(D23:AQ23,"|")+'UC7-verso'!AR23,COUNTIFS(D23:AQ23,"|")))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IF(B24="","",IF('UC8-frente'!$I$13='UC7-frente'!$I$13,COUNTIFS(D24:AQ24,"|")+'UC7-verso'!AR24,COUNTIFS(D24:AQ24,"|")))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IF(B25="","",IF('UC8-frente'!$I$13='UC7-frente'!$I$13,COUNTIFS(D25:AQ25,"|")+'UC7-verso'!AR25,COUNTIFS(D25:AQ25,"|")))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IF(B26="","",IF('UC8-frente'!$I$13='UC7-frente'!$I$13,COUNTIFS(D26:AQ26,"|")+'UC7-verso'!AR26,COUNTIFS(D26:AQ26,"|")))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IF(B27="","",IF('UC8-frente'!$I$13='UC7-frente'!$I$13,COUNTIFS(D27:AQ27,"|")+'UC7-verso'!AR27,COUNTIFS(D27:AQ27,"|")))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IF(B28="","",IF('UC8-frente'!$I$13='UC7-frente'!$I$13,COUNTIFS(D28:AQ28,"|")+'UC7-verso'!AR28,COUNTIFS(D28:AQ28,"|")))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IF(B29="","",IF('UC8-frente'!$I$13='UC7-frente'!$I$13,COUNTIFS(D29:AQ29,"|")+'UC7-verso'!AR29,COUNTIFS(D29:AQ29,"|")))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IF(B30="","",IF('UC8-frente'!$I$13='UC7-frente'!$I$13,COUNTIFS(D30:AQ30,"|")+'UC7-verso'!AR30,COUNTIFS(D30:AQ30,"|")))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IF(B31="","",IF('UC8-frente'!$I$13='UC7-frente'!$I$13,COUNTIFS(D31:AQ31,"|")+'UC7-verso'!AR31,COUNTIFS(D31:AQ31,"|")))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IF(B32="","",IF('UC8-frente'!$I$13='UC7-frente'!$I$13,COUNTIFS(D32:AQ32,"|")+'UC7-verso'!AR32,COUNTIFS(D32:AQ32,"|")))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IF(B33="","",IF('UC8-frente'!$I$13='UC7-frente'!$I$13,COUNTIFS(D33:AQ33,"|")+'UC7-verso'!AR33,COUNTIFS(D33:AQ33,"|")))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IF(B34="","",IF('UC8-frente'!$I$13='UC7-frente'!$I$13,COUNTIFS(D34:AQ34,"|")+'UC7-verso'!AR34,COUNTIFS(D34:AQ34,"|")))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14"/>
      <c r="D36" s="11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14"/>
      <c r="B38" s="114"/>
      <c r="C38" s="114"/>
      <c r="D38" s="11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35</v>
      </c>
      <c r="AQ39" s="213"/>
      <c r="AR39" s="213"/>
      <c r="AS39" s="213"/>
      <c r="AT39" s="213"/>
      <c r="AU39" s="213"/>
    </row>
    <row r="40" spans="1:47" x14ac:dyDescent="0.2">
      <c r="A40" s="114"/>
      <c r="B40" s="114"/>
      <c r="C40" s="114"/>
      <c r="D40" s="11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D1:AQ34 AS3:AS34" name="Intervalo1"/>
  </protectedRanges>
  <mergeCells count="50">
    <mergeCell ref="A43:P43"/>
    <mergeCell ref="A44:AE45"/>
    <mergeCell ref="AA39:AL39"/>
    <mergeCell ref="AP39:AU39"/>
    <mergeCell ref="M40:X40"/>
    <mergeCell ref="AA40:AL40"/>
    <mergeCell ref="AP40:AU40"/>
    <mergeCell ref="A41:C41"/>
    <mergeCell ref="M39:X39"/>
    <mergeCell ref="B33:C33"/>
    <mergeCell ref="B34:C34"/>
    <mergeCell ref="A36:B36"/>
    <mergeCell ref="A37:D37"/>
    <mergeCell ref="A39:D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T1:AT2"/>
    <mergeCell ref="AU1:AU2"/>
    <mergeCell ref="B8:C8"/>
    <mergeCell ref="A1:A2"/>
    <mergeCell ref="B1:B2"/>
    <mergeCell ref="AR1:AR2"/>
    <mergeCell ref="AS1:AS2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zoomScaleNormal="100" workbookViewId="0">
      <selection activeCell="L46" sqref="L46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64"/>
      <c r="B3" s="14"/>
      <c r="C3" s="245"/>
      <c r="D3" s="129"/>
      <c r="E3" s="129"/>
      <c r="F3" s="129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64"/>
      <c r="B4" s="14"/>
      <c r="C4" s="245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/>
      <c r="D5" s="129"/>
      <c r="E5" s="129"/>
      <c r="F5" s="129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245"/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228"/>
      <c r="D9" s="271"/>
      <c r="E9" s="271"/>
      <c r="F9" s="271"/>
      <c r="G9" s="4"/>
      <c r="H9" s="5"/>
      <c r="I9" s="112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/>
      <c r="B10" s="14"/>
      <c r="C10" s="272"/>
      <c r="D10" s="273"/>
      <c r="E10" s="273"/>
      <c r="F10" s="274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59"/>
      <c r="D11" s="275"/>
      <c r="E11" s="275"/>
      <c r="F11" s="275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/>
      <c r="B12" s="14"/>
      <c r="C12" s="129"/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/>
      <c r="D13" s="129"/>
      <c r="E13" s="129"/>
      <c r="F13" s="129"/>
      <c r="G13" s="4"/>
      <c r="H13" s="5"/>
      <c r="I13" s="178" t="s">
        <v>50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/>
      <c r="B14" s="14"/>
      <c r="C14" s="234"/>
      <c r="D14" s="131"/>
      <c r="E14" s="131"/>
      <c r="F14" s="132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/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64"/>
      <c r="B16" s="14"/>
      <c r="C16" s="234"/>
      <c r="D16" s="131"/>
      <c r="E16" s="131"/>
      <c r="F16" s="132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/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/>
      <c r="B18" s="14"/>
      <c r="C18" s="234"/>
      <c r="D18" s="131"/>
      <c r="E18" s="131"/>
      <c r="F18" s="132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/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234"/>
      <c r="D20" s="131"/>
      <c r="E20" s="131"/>
      <c r="F20" s="132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 t="e">
        <f>VLOOKUP(I13,DADOS_GERAIS!C52:D61,2,0)</f>
        <v>#N/A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13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 t="str">
        <f>IF(A3="","___/___/___",A3)</f>
        <v>___/___/___</v>
      </c>
      <c r="J45" s="226"/>
      <c r="K45" s="227"/>
      <c r="L45" s="225" t="str">
        <f>IF(A3="","___/___/___",IF(I13='UC10-frente'!I13,'UC10-frente'!L45:M45,MAX(A3:A45)))</f>
        <v>___/___/___</v>
      </c>
      <c r="M45" s="227"/>
      <c r="N45" s="137" t="str">
        <f>IF(A3="","",IF(I13='UC8-frente'!I13,SUM(B3:B45)+'UC8-frente'!N45,SUM(B3:B45)))</f>
        <v/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C44:F44"/>
    <mergeCell ref="I44:K44"/>
    <mergeCell ref="L44:M44"/>
    <mergeCell ref="N44:P44"/>
    <mergeCell ref="C45:F45"/>
    <mergeCell ref="I45:K45"/>
    <mergeCell ref="L45:M45"/>
    <mergeCell ref="N45:P45"/>
    <mergeCell ref="C42:F42"/>
    <mergeCell ref="L42:L43"/>
    <mergeCell ref="M42:M43"/>
    <mergeCell ref="N42:P43"/>
    <mergeCell ref="C43:F43"/>
    <mergeCell ref="I43:K43"/>
    <mergeCell ref="C40:F40"/>
    <mergeCell ref="L40:L41"/>
    <mergeCell ref="M40:M41"/>
    <mergeCell ref="N40:P41"/>
    <mergeCell ref="C41:F41"/>
    <mergeCell ref="I41:K41"/>
    <mergeCell ref="C38:F38"/>
    <mergeCell ref="L38:L39"/>
    <mergeCell ref="M38:M39"/>
    <mergeCell ref="N38:P39"/>
    <mergeCell ref="C39:F39"/>
    <mergeCell ref="I39:K39"/>
    <mergeCell ref="C36:F36"/>
    <mergeCell ref="L36:L37"/>
    <mergeCell ref="M36:M37"/>
    <mergeCell ref="N36:P37"/>
    <mergeCell ref="C37:F37"/>
    <mergeCell ref="I37:K37"/>
    <mergeCell ref="C34:F34"/>
    <mergeCell ref="L34:L35"/>
    <mergeCell ref="M34:M35"/>
    <mergeCell ref="N34:P35"/>
    <mergeCell ref="C35:F35"/>
    <mergeCell ref="I35:K35"/>
    <mergeCell ref="C32:F32"/>
    <mergeCell ref="L32:L33"/>
    <mergeCell ref="M32:M33"/>
    <mergeCell ref="N32:P33"/>
    <mergeCell ref="C33:F33"/>
    <mergeCell ref="I33:K33"/>
    <mergeCell ref="C29:F29"/>
    <mergeCell ref="I29:P30"/>
    <mergeCell ref="C30:F30"/>
    <mergeCell ref="C31:F31"/>
    <mergeCell ref="I31:K31"/>
    <mergeCell ref="N31:P31"/>
    <mergeCell ref="C24:F24"/>
    <mergeCell ref="I24:P24"/>
    <mergeCell ref="C25:F25"/>
    <mergeCell ref="I25:P28"/>
    <mergeCell ref="C26:F26"/>
    <mergeCell ref="C27:F27"/>
    <mergeCell ref="C28:F28"/>
    <mergeCell ref="C21:F21"/>
    <mergeCell ref="I21:J21"/>
    <mergeCell ref="K21:P21"/>
    <mergeCell ref="C22:F22"/>
    <mergeCell ref="K22:P22"/>
    <mergeCell ref="C23:F23"/>
    <mergeCell ref="I23:J23"/>
    <mergeCell ref="K23:P23"/>
    <mergeCell ref="C19:F19"/>
    <mergeCell ref="I19:J19"/>
    <mergeCell ref="K19:L19"/>
    <mergeCell ref="M19:O19"/>
    <mergeCell ref="C20:F20"/>
    <mergeCell ref="I20:J20"/>
    <mergeCell ref="K20:L20"/>
    <mergeCell ref="M20:O20"/>
    <mergeCell ref="C17:F17"/>
    <mergeCell ref="I17:J17"/>
    <mergeCell ref="K17:P17"/>
    <mergeCell ref="C18:F18"/>
    <mergeCell ref="I18:J18"/>
    <mergeCell ref="K18:L18"/>
    <mergeCell ref="M18:O18"/>
    <mergeCell ref="C14:F14"/>
    <mergeCell ref="I14:P14"/>
    <mergeCell ref="C15:F15"/>
    <mergeCell ref="I15:P16"/>
    <mergeCell ref="C16:F16"/>
    <mergeCell ref="C10:F10"/>
    <mergeCell ref="I10:P10"/>
    <mergeCell ref="C11:F11"/>
    <mergeCell ref="I11:P11"/>
    <mergeCell ref="C12:F12"/>
    <mergeCell ref="I12:P12"/>
    <mergeCell ref="C9:F9"/>
    <mergeCell ref="M9:N9"/>
    <mergeCell ref="C4:F4"/>
    <mergeCell ref="C5:F5"/>
    <mergeCell ref="I5:P5"/>
    <mergeCell ref="C6:F6"/>
    <mergeCell ref="I6:P6"/>
    <mergeCell ref="C7:F7"/>
    <mergeCell ref="C13:F13"/>
    <mergeCell ref="I13:P13"/>
    <mergeCell ref="A1:A2"/>
    <mergeCell ref="B1:B2"/>
    <mergeCell ref="C1:F2"/>
    <mergeCell ref="L1:P1"/>
    <mergeCell ref="L2:P2"/>
    <mergeCell ref="C3:F3"/>
    <mergeCell ref="L3:P3"/>
    <mergeCell ref="C8:F8"/>
    <mergeCell ref="I8:J8"/>
    <mergeCell ref="K8:L8"/>
    <mergeCell ref="M8:N8"/>
  </mergeCells>
  <conditionalFormatting sqref="I6:P6 O9:P9 I18 I11 I21 I23 K23 I15">
    <cfRule type="cellIs" dxfId="3" priority="2" operator="equal">
      <formula>0</formula>
    </cfRule>
  </conditionalFormatting>
  <conditionalFormatting sqref="I13">
    <cfRule type="cellIs" dxfId="2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21505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21505" r:id="rId4"/>
      </mc:Fallback>
    </mc:AlternateContent>
    <mc:AlternateContent xmlns:mc="http://schemas.openxmlformats.org/markup-compatibility/2006">
      <mc:Choice Requires="x14">
        <oleObject progId="MSPhotoEd.3" shapeId="21506" r:id="rId6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21506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AU3" sqref="AU3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7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IF(B3="","",IF('UC9-frente'!$I$13='UC8-frente'!$I$13,COUNTIFS(D3:AQ3,"|")+'UC8-verso'!AR3,COUNTIFS(D3:AQ3,"|")))</f>
        <v>0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IF(B4="","",IF('UC9-frente'!$I$13='UC8-frente'!$I$13,COUNTIFS(D4:AQ4,"|")+'UC8-verso'!AR4,COUNTIFS(D4:AQ4,"|")))</f>
        <v>0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IF(B5="","",IF('UC9-frente'!$I$13='UC8-frente'!$I$13,COUNTIFS(D5:AQ5,"|")+'UC8-verso'!AR5,COUNTIFS(D5:AQ5,"|")))</f>
        <v>0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IF(B6="","",IF('UC9-frente'!$I$13='UC8-frente'!$I$13,COUNTIFS(D6:AQ6,"|")+'UC8-verso'!AR6,COUNTIFS(D6:AQ6,"|")))</f>
        <v>0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IF(B7="","",IF('UC9-frente'!$I$13='UC8-frente'!$I$13,COUNTIFS(D7:AQ7,"|")+'UC8-verso'!AR7,COUNTIFS(D7:AQ7,"|")))</f>
        <v>0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IF(B8="","",IF('UC9-frente'!$I$13='UC8-frente'!$I$13,COUNTIFS(D8:AQ8,"|")+'UC8-verso'!AR8,COUNTIFS(D8:AQ8,"|")))</f>
        <v>0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IF(B9="","",IF('UC9-frente'!$I$13='UC8-frente'!$I$13,COUNTIFS(D9:AQ9,"|")+'UC8-verso'!AR9,COUNTIFS(D9:AQ9,"|")))</f>
        <v>0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IF(B10="","",IF('UC9-frente'!$I$13='UC8-frente'!$I$13,COUNTIFS(D10:AQ10,"|")+'UC8-verso'!AR10,COUNTIFS(D10:AQ10,"|")))</f>
        <v>0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IF(B11="","",IF('UC9-frente'!$I$13='UC8-frente'!$I$13,COUNTIFS(D11:AQ11,"|")+'UC8-verso'!AR11,COUNTIFS(D11:AQ11,"|")))</f>
        <v>0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IF(B12="","",IF('UC9-frente'!$I$13='UC8-frente'!$I$13,COUNTIFS(D12:AQ12,"|")+'UC8-verso'!AR12,COUNTIFS(D12:AQ12,"|")))</f>
        <v>0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IF(B13="","",IF('UC9-frente'!$I$13='UC8-frente'!$I$13,COUNTIFS(D13:AQ13,"|")+'UC8-verso'!AR13,COUNTIFS(D13:AQ13,"|")))</f>
        <v>0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IF(B14="","",IF('UC9-frente'!$I$13='UC8-frente'!$I$13,COUNTIFS(D14:AQ14,"|")+'UC8-verso'!AR14,COUNTIFS(D14:AQ14,"|")))</f>
        <v>0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IF(B15="","",IF('UC9-frente'!$I$13='UC8-frente'!$I$13,COUNTIFS(D15:AQ15,"|")+'UC8-verso'!AR15,COUNTIFS(D15:AQ15,"|")))</f>
        <v>0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IF(B16="","",IF('UC9-frente'!$I$13='UC8-frente'!$I$13,COUNTIFS(D16:AQ16,"|")+'UC8-verso'!AR16,COUNTIFS(D16:AQ16,"|")))</f>
        <v>0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IF(B17="","",IF('UC9-frente'!$I$13='UC8-frente'!$I$13,COUNTIFS(D17:AQ17,"|")+'UC8-verso'!AR17,COUNTIFS(D17:AQ17,"|")))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IF(B18="","",IF('UC9-frente'!$I$13='UC8-frente'!$I$13,COUNTIFS(D18:AQ18,"|")+'UC8-verso'!AR18,COUNTIFS(D18:AQ18,"|")))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IF(B19="","",IF('UC9-frente'!$I$13='UC8-frente'!$I$13,COUNTIFS(D19:AQ19,"|")+'UC8-verso'!AR19,COUNTIFS(D19:AQ19,"|")))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IF(B20="","",IF('UC9-frente'!$I$13='UC8-frente'!$I$13,COUNTIFS(D20:AQ20,"|")+'UC8-verso'!AR20,COUNTIFS(D20:AQ20,"|")))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IF(B21="","",IF('UC9-frente'!$I$13='UC8-frente'!$I$13,COUNTIFS(D21:AQ21,"|")+'UC8-verso'!AR21,COUNTIFS(D21:AQ21,"|")))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IF(B22="","",IF('UC9-frente'!$I$13='UC8-frente'!$I$13,COUNTIFS(D22:AQ22,"|")+'UC8-verso'!AR22,COUNTIFS(D22:AQ22,"|")))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IF(B23="","",IF('UC9-frente'!$I$13='UC8-frente'!$I$13,COUNTIFS(D23:AQ23,"|")+'UC8-verso'!AR23,COUNTIFS(D23:AQ23,"|")))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IF(B24="","",IF('UC9-frente'!$I$13='UC8-frente'!$I$13,COUNTIFS(D24:AQ24,"|")+'UC8-verso'!AR24,COUNTIFS(D24:AQ24,"|")))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IF(B25="","",IF('UC9-frente'!$I$13='UC8-frente'!$I$13,COUNTIFS(D25:AQ25,"|")+'UC8-verso'!AR25,COUNTIFS(D25:AQ25,"|")))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IF(B26="","",IF('UC9-frente'!$I$13='UC8-frente'!$I$13,COUNTIFS(D26:AQ26,"|")+'UC8-verso'!AR26,COUNTIFS(D26:AQ26,"|")))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IF(B27="","",IF('UC9-frente'!$I$13='UC8-frente'!$I$13,COUNTIFS(D27:AQ27,"|")+'UC8-verso'!AR27,COUNTIFS(D27:AQ27,"|")))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IF(B28="","",IF('UC9-frente'!$I$13='UC8-frente'!$I$13,COUNTIFS(D28:AQ28,"|")+'UC8-verso'!AR28,COUNTIFS(D28:AQ28,"|")))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IF(B29="","",IF('UC9-frente'!$I$13='UC8-frente'!$I$13,COUNTIFS(D29:AQ29,"|")+'UC8-verso'!AR29,COUNTIFS(D29:AQ29,"|")))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IF(B30="","",IF('UC9-frente'!$I$13='UC8-frente'!$I$13,COUNTIFS(D30:AQ30,"|")+'UC8-verso'!AR30,COUNTIFS(D30:AQ30,"|")))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IF(B31="","",IF('UC9-frente'!$I$13='UC8-frente'!$I$13,COUNTIFS(D31:AQ31,"|")+'UC8-verso'!AR31,COUNTIFS(D31:AQ31,"|")))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IF(B32="","",IF('UC9-frente'!$I$13='UC8-frente'!$I$13,COUNTIFS(D32:AQ32,"|")+'UC8-verso'!AR32,COUNTIFS(D32:AQ32,"|")))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IF(B33="","",IF('UC9-frente'!$I$13='UC8-frente'!$I$13,COUNTIFS(D33:AQ33,"|")+'UC8-verso'!AR33,COUNTIFS(D33:AQ33,"|")))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IF(B34="","",IF('UC9-frente'!$I$13='UC8-frente'!$I$13,COUNTIFS(D34:AQ34,"|")+'UC8-verso'!AR34,COUNTIFS(D34:AQ34,"|")))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14"/>
      <c r="D36" s="11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14"/>
      <c r="B38" s="114"/>
      <c r="C38" s="114"/>
      <c r="D38" s="11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35</v>
      </c>
      <c r="AQ39" s="213"/>
      <c r="AR39" s="213"/>
      <c r="AS39" s="213"/>
      <c r="AT39" s="213"/>
      <c r="AU39" s="213"/>
    </row>
    <row r="40" spans="1:47" x14ac:dyDescent="0.2">
      <c r="A40" s="114"/>
      <c r="B40" s="114"/>
      <c r="C40" s="114"/>
      <c r="D40" s="11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D1:AQ34 AS3:AS34" name="Intervalo1"/>
  </protectedRanges>
  <mergeCells count="50">
    <mergeCell ref="A43:P43"/>
    <mergeCell ref="A44:AE45"/>
    <mergeCell ref="AA39:AL39"/>
    <mergeCell ref="AP39:AU39"/>
    <mergeCell ref="M40:X40"/>
    <mergeCell ref="AA40:AL40"/>
    <mergeCell ref="AP40:AU40"/>
    <mergeCell ref="A41:C41"/>
    <mergeCell ref="M39:X39"/>
    <mergeCell ref="B33:C33"/>
    <mergeCell ref="B34:C34"/>
    <mergeCell ref="A36:B36"/>
    <mergeCell ref="A37:D37"/>
    <mergeCell ref="A39:D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T1:AT2"/>
    <mergeCell ref="AU1:AU2"/>
    <mergeCell ref="B8:C8"/>
    <mergeCell ref="A1:A2"/>
    <mergeCell ref="B1:B2"/>
    <mergeCell ref="AR1:AR2"/>
    <mergeCell ref="AS1:AS2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S50"/>
  <sheetViews>
    <sheetView showGridLines="0" zoomScaleNormal="100" workbookViewId="0">
      <selection activeCell="L45" sqref="L45:M45"/>
    </sheetView>
  </sheetViews>
  <sheetFormatPr defaultRowHeight="12.75" x14ac:dyDescent="0.2"/>
  <cols>
    <col min="1" max="1" width="11.7109375" customWidth="1"/>
    <col min="2" max="2" width="7.28515625" customWidth="1"/>
    <col min="6" max="6" width="24.140625" customWidth="1"/>
    <col min="7" max="8" width="1.85546875" customWidth="1"/>
    <col min="9" max="9" width="8.28515625" customWidth="1"/>
    <col min="10" max="10" width="7.85546875" customWidth="1"/>
    <col min="11" max="11" width="10.42578125" customWidth="1"/>
    <col min="12" max="12" width="11.28515625" customWidth="1"/>
    <col min="13" max="13" width="10.7109375" customWidth="1"/>
    <col min="14" max="14" width="4.7109375" customWidth="1"/>
    <col min="15" max="15" width="12.28515625" customWidth="1"/>
  </cols>
  <sheetData>
    <row r="1" spans="1:16" x14ac:dyDescent="0.2">
      <c r="A1" s="128" t="s">
        <v>0</v>
      </c>
      <c r="B1" s="128" t="s">
        <v>14</v>
      </c>
      <c r="C1" s="128" t="s">
        <v>45</v>
      </c>
      <c r="D1" s="128"/>
      <c r="E1" s="128"/>
      <c r="F1" s="128"/>
      <c r="G1" s="11"/>
      <c r="H1" s="10"/>
      <c r="I1" s="23"/>
      <c r="J1" s="23"/>
      <c r="K1" s="23"/>
      <c r="L1" s="249" t="s">
        <v>47</v>
      </c>
      <c r="M1" s="249"/>
      <c r="N1" s="249"/>
      <c r="O1" s="249"/>
      <c r="P1" s="249"/>
    </row>
    <row r="2" spans="1:16" x14ac:dyDescent="0.2">
      <c r="A2" s="128"/>
      <c r="B2" s="128"/>
      <c r="C2" s="128"/>
      <c r="D2" s="128"/>
      <c r="E2" s="128"/>
      <c r="F2" s="128"/>
      <c r="G2" s="11"/>
      <c r="H2" s="10"/>
      <c r="I2" s="23"/>
      <c r="J2" s="23"/>
      <c r="K2" s="23"/>
      <c r="L2" s="250" t="s">
        <v>43</v>
      </c>
      <c r="M2" s="250"/>
      <c r="N2" s="250"/>
      <c r="O2" s="250"/>
      <c r="P2" s="250"/>
    </row>
    <row r="3" spans="1:16" ht="11.25" customHeight="1" x14ac:dyDescent="0.2">
      <c r="A3" s="64"/>
      <c r="B3" s="14"/>
      <c r="C3" s="245"/>
      <c r="D3" s="129"/>
      <c r="E3" s="129"/>
      <c r="F3" s="129"/>
      <c r="G3" s="11"/>
      <c r="H3" s="10"/>
      <c r="I3" s="23"/>
      <c r="J3" s="23"/>
      <c r="K3" s="23"/>
      <c r="L3" s="251" t="s">
        <v>46</v>
      </c>
      <c r="M3" s="251"/>
      <c r="N3" s="251"/>
      <c r="O3" s="251"/>
      <c r="P3" s="251"/>
    </row>
    <row r="4" spans="1:16" ht="11.25" customHeight="1" x14ac:dyDescent="0.2">
      <c r="A4" s="64"/>
      <c r="B4" s="14"/>
      <c r="C4" s="245"/>
      <c r="D4" s="129"/>
      <c r="E4" s="129"/>
      <c r="F4" s="129"/>
      <c r="G4" s="11"/>
      <c r="H4" s="10"/>
      <c r="I4" s="23"/>
      <c r="J4" s="23"/>
      <c r="K4" s="23"/>
      <c r="L4" s="23"/>
      <c r="M4" s="23"/>
      <c r="N4" s="23"/>
      <c r="O4" s="23"/>
      <c r="P4" s="23"/>
    </row>
    <row r="5" spans="1:16" ht="11.25" customHeight="1" x14ac:dyDescent="0.2">
      <c r="A5" s="64"/>
      <c r="B5" s="14"/>
      <c r="C5" s="245"/>
      <c r="D5" s="129"/>
      <c r="E5" s="129"/>
      <c r="F5" s="129"/>
      <c r="G5" s="12"/>
      <c r="H5" s="13"/>
      <c r="I5" s="208" t="s">
        <v>76</v>
      </c>
      <c r="J5" s="208"/>
      <c r="K5" s="208"/>
      <c r="L5" s="208"/>
      <c r="M5" s="208"/>
      <c r="N5" s="208"/>
      <c r="O5" s="208"/>
      <c r="P5" s="208"/>
    </row>
    <row r="6" spans="1:16" ht="11.25" customHeight="1" x14ac:dyDescent="0.2">
      <c r="A6" s="64"/>
      <c r="B6" s="14"/>
      <c r="C6" s="245"/>
      <c r="D6" s="129"/>
      <c r="E6" s="129"/>
      <c r="F6" s="129"/>
      <c r="G6" s="12"/>
      <c r="H6" s="13"/>
      <c r="I6" s="209" t="s">
        <v>77</v>
      </c>
      <c r="J6" s="209"/>
      <c r="K6" s="209"/>
      <c r="L6" s="209"/>
      <c r="M6" s="209"/>
      <c r="N6" s="209"/>
      <c r="O6" s="209"/>
      <c r="P6" s="209"/>
    </row>
    <row r="7" spans="1:16" ht="11.25" customHeight="1" x14ac:dyDescent="0.2">
      <c r="A7" s="64"/>
      <c r="B7" s="14"/>
      <c r="C7" s="245"/>
      <c r="D7" s="129"/>
      <c r="E7" s="129"/>
      <c r="F7" s="129"/>
      <c r="G7" s="4"/>
      <c r="H7" s="5"/>
      <c r="I7" s="24"/>
      <c r="J7" s="24"/>
      <c r="K7" s="24"/>
      <c r="L7" s="24"/>
      <c r="M7" s="24"/>
      <c r="N7" s="24"/>
      <c r="O7" s="24"/>
      <c r="P7" s="24"/>
    </row>
    <row r="8" spans="1:16" ht="11.25" customHeight="1" x14ac:dyDescent="0.2">
      <c r="A8" s="64"/>
      <c r="B8" s="14"/>
      <c r="C8" s="129"/>
      <c r="D8" s="129"/>
      <c r="E8" s="129"/>
      <c r="F8" s="129"/>
      <c r="G8" s="4"/>
      <c r="H8" s="5"/>
      <c r="I8" s="140" t="s">
        <v>15</v>
      </c>
      <c r="J8" s="142"/>
      <c r="K8" s="140" t="s">
        <v>16</v>
      </c>
      <c r="L8" s="142"/>
      <c r="M8" s="140" t="s">
        <v>17</v>
      </c>
      <c r="N8" s="142"/>
      <c r="O8" s="25" t="s">
        <v>18</v>
      </c>
      <c r="P8" s="26" t="s">
        <v>33</v>
      </c>
    </row>
    <row r="9" spans="1:16" ht="11.25" customHeight="1" x14ac:dyDescent="0.2">
      <c r="A9" s="64"/>
      <c r="B9" s="14"/>
      <c r="C9" s="228"/>
      <c r="D9" s="271"/>
      <c r="E9" s="271"/>
      <c r="F9" s="271"/>
      <c r="G9" s="4"/>
      <c r="H9" s="5"/>
      <c r="I9" s="112"/>
      <c r="J9" s="27"/>
      <c r="K9" s="28" t="s">
        <v>42</v>
      </c>
      <c r="L9" s="27"/>
      <c r="M9" s="178" t="s">
        <v>42</v>
      </c>
      <c r="N9" s="180"/>
      <c r="O9" s="29" t="str">
        <f>DADOS_GERAIS!D38</f>
        <v>GRDWEB 1-2/21</v>
      </c>
      <c r="P9" s="30">
        <f>DADOS_GERAIS!D39</f>
        <v>44461</v>
      </c>
    </row>
    <row r="10" spans="1:16" ht="11.25" customHeight="1" x14ac:dyDescent="0.2">
      <c r="A10" s="64"/>
      <c r="B10" s="14"/>
      <c r="C10" s="272"/>
      <c r="D10" s="273"/>
      <c r="E10" s="273"/>
      <c r="F10" s="274"/>
      <c r="G10" s="4"/>
      <c r="H10" s="5"/>
      <c r="I10" s="140" t="s">
        <v>1</v>
      </c>
      <c r="J10" s="141"/>
      <c r="K10" s="141"/>
      <c r="L10" s="141"/>
      <c r="M10" s="141"/>
      <c r="N10" s="141"/>
      <c r="O10" s="141"/>
      <c r="P10" s="142"/>
    </row>
    <row r="11" spans="1:16" ht="11.25" customHeight="1" x14ac:dyDescent="0.2">
      <c r="A11" s="64"/>
      <c r="B11" s="14"/>
      <c r="C11" s="259"/>
      <c r="D11" s="275"/>
      <c r="E11" s="275"/>
      <c r="F11" s="275"/>
      <c r="G11" s="4"/>
      <c r="H11" s="5"/>
      <c r="I11" s="178" t="str">
        <f>DADOS_GERAIS!D40</f>
        <v>Desenhista de Páginas para Web (Web Designer)</v>
      </c>
      <c r="J11" s="179"/>
      <c r="K11" s="179"/>
      <c r="L11" s="179"/>
      <c r="M11" s="179"/>
      <c r="N11" s="179"/>
      <c r="O11" s="179"/>
      <c r="P11" s="180"/>
    </row>
    <row r="12" spans="1:16" ht="11.25" customHeight="1" x14ac:dyDescent="0.2">
      <c r="A12" s="64"/>
      <c r="B12" s="14"/>
      <c r="C12" s="129"/>
      <c r="D12" s="129"/>
      <c r="E12" s="129"/>
      <c r="F12" s="129"/>
      <c r="G12" s="4"/>
      <c r="H12" s="5"/>
      <c r="I12" s="246" t="s">
        <v>52</v>
      </c>
      <c r="J12" s="247"/>
      <c r="K12" s="247"/>
      <c r="L12" s="247"/>
      <c r="M12" s="247"/>
      <c r="N12" s="247"/>
      <c r="O12" s="247"/>
      <c r="P12" s="248"/>
    </row>
    <row r="13" spans="1:16" ht="11.25" customHeight="1" x14ac:dyDescent="0.2">
      <c r="A13" s="64"/>
      <c r="B13" s="14"/>
      <c r="C13" s="245"/>
      <c r="D13" s="129"/>
      <c r="E13" s="129"/>
      <c r="F13" s="129"/>
      <c r="G13" s="4"/>
      <c r="H13" s="5"/>
      <c r="I13" s="178" t="s">
        <v>50</v>
      </c>
      <c r="J13" s="179"/>
      <c r="K13" s="179"/>
      <c r="L13" s="179"/>
      <c r="M13" s="179"/>
      <c r="N13" s="179"/>
      <c r="O13" s="179"/>
      <c r="P13" s="180"/>
    </row>
    <row r="14" spans="1:16" ht="11.25" customHeight="1" x14ac:dyDescent="0.2">
      <c r="A14" s="64"/>
      <c r="B14" s="14"/>
      <c r="C14" s="234"/>
      <c r="D14" s="131"/>
      <c r="E14" s="131"/>
      <c r="F14" s="132"/>
      <c r="G14" s="4"/>
      <c r="H14" s="5"/>
      <c r="I14" s="237" t="s">
        <v>12</v>
      </c>
      <c r="J14" s="238"/>
      <c r="K14" s="238"/>
      <c r="L14" s="238"/>
      <c r="M14" s="238"/>
      <c r="N14" s="238"/>
      <c r="O14" s="238"/>
      <c r="P14" s="239"/>
    </row>
    <row r="15" spans="1:16" ht="11.25" customHeight="1" x14ac:dyDescent="0.2">
      <c r="A15" s="64"/>
      <c r="B15" s="14"/>
      <c r="C15" s="245"/>
      <c r="D15" s="129"/>
      <c r="E15" s="129"/>
      <c r="F15" s="129"/>
      <c r="G15" s="4"/>
      <c r="H15" s="5"/>
      <c r="I15" s="166" t="str">
        <f>DADOS_GERAIS!D42</f>
        <v>DIOGO TAKAMORI BARBOSA</v>
      </c>
      <c r="J15" s="167"/>
      <c r="K15" s="167"/>
      <c r="L15" s="167"/>
      <c r="M15" s="167"/>
      <c r="N15" s="167"/>
      <c r="O15" s="167"/>
      <c r="P15" s="168"/>
    </row>
    <row r="16" spans="1:16" ht="11.25" customHeight="1" x14ac:dyDescent="0.2">
      <c r="A16" s="64"/>
      <c r="B16" s="14"/>
      <c r="C16" s="234"/>
      <c r="D16" s="131"/>
      <c r="E16" s="131"/>
      <c r="F16" s="132"/>
      <c r="G16" s="4"/>
      <c r="H16" s="5"/>
      <c r="I16" s="169"/>
      <c r="J16" s="170"/>
      <c r="K16" s="170"/>
      <c r="L16" s="170"/>
      <c r="M16" s="170"/>
      <c r="N16" s="170"/>
      <c r="O16" s="170"/>
      <c r="P16" s="171"/>
    </row>
    <row r="17" spans="1:16" ht="11.25" customHeight="1" x14ac:dyDescent="0.2">
      <c r="A17" s="64"/>
      <c r="B17" s="14"/>
      <c r="C17" s="245"/>
      <c r="D17" s="129"/>
      <c r="E17" s="129"/>
      <c r="F17" s="129"/>
      <c r="G17" s="4"/>
      <c r="H17" s="5"/>
      <c r="I17" s="156" t="s">
        <v>49</v>
      </c>
      <c r="J17" s="157"/>
      <c r="K17" s="140" t="s">
        <v>19</v>
      </c>
      <c r="L17" s="141"/>
      <c r="M17" s="141"/>
      <c r="N17" s="141"/>
      <c r="O17" s="141"/>
      <c r="P17" s="142"/>
    </row>
    <row r="18" spans="1:16" ht="11.25" customHeight="1" x14ac:dyDescent="0.2">
      <c r="A18" s="64"/>
      <c r="B18" s="14"/>
      <c r="C18" s="234"/>
      <c r="D18" s="131"/>
      <c r="E18" s="131"/>
      <c r="F18" s="132"/>
      <c r="G18" s="4"/>
      <c r="H18" s="5"/>
      <c r="I18" s="158">
        <f>DADOS_GERAIS!D43</f>
        <v>44405</v>
      </c>
      <c r="J18" s="159"/>
      <c r="K18" s="240" t="str">
        <f>IF(DADOS_GERAIS!D45="","",DADOS_GERAIS!D45)</f>
        <v>Quarta-feira - 19:00 Até 22:00</v>
      </c>
      <c r="L18" s="241"/>
      <c r="M18" s="211" t="str">
        <f>IF(DADOS_GERAIS!D47="","",DADOS_GERAIS!D48)</f>
        <v/>
      </c>
      <c r="N18" s="211"/>
      <c r="O18" s="211"/>
      <c r="P18" s="108"/>
    </row>
    <row r="19" spans="1:16" ht="11.25" customHeight="1" x14ac:dyDescent="0.2">
      <c r="A19" s="64"/>
      <c r="B19" s="14"/>
      <c r="C19" s="245"/>
      <c r="D19" s="129"/>
      <c r="E19" s="129"/>
      <c r="F19" s="129"/>
      <c r="G19" s="4"/>
      <c r="H19" s="5"/>
      <c r="I19" s="156" t="s">
        <v>48</v>
      </c>
      <c r="J19" s="157"/>
      <c r="K19" s="240" t="str">
        <f>IF(DADOS_GERAIS!D46="","",DADOS_GERAIS!D46)</f>
        <v>Quinta-feira - 19:00 Até 22:00</v>
      </c>
      <c r="L19" s="241"/>
      <c r="M19" s="211"/>
      <c r="N19" s="211"/>
      <c r="O19" s="211"/>
      <c r="P19" s="108"/>
    </row>
    <row r="20" spans="1:16" ht="11.25" customHeight="1" x14ac:dyDescent="0.2">
      <c r="A20" s="64"/>
      <c r="B20" s="14"/>
      <c r="C20" s="234"/>
      <c r="D20" s="131"/>
      <c r="E20" s="131"/>
      <c r="F20" s="132"/>
      <c r="G20" s="4"/>
      <c r="H20" s="5"/>
      <c r="I20" s="200" t="s">
        <v>1</v>
      </c>
      <c r="J20" s="201"/>
      <c r="K20" s="240" t="str">
        <f>IF(DADOS_GERAIS!D47="","",DADOS_GERAIS!D47)</f>
        <v/>
      </c>
      <c r="L20" s="241"/>
      <c r="M20" s="252"/>
      <c r="N20" s="252"/>
      <c r="O20" s="252"/>
      <c r="P20" s="108"/>
    </row>
    <row r="21" spans="1:16" ht="11.25" customHeight="1" x14ac:dyDescent="0.2">
      <c r="A21" s="64"/>
      <c r="B21" s="14"/>
      <c r="C21" s="126"/>
      <c r="D21" s="126"/>
      <c r="E21" s="126"/>
      <c r="F21" s="126"/>
      <c r="G21" s="4"/>
      <c r="H21" s="5"/>
      <c r="I21" s="158">
        <f>DADOS_GERAIS!D44</f>
        <v>44602</v>
      </c>
      <c r="J21" s="159"/>
      <c r="K21" s="175" t="str">
        <f>IF(DADOS_GERAIS!D48="","",DADOS_GERAIS!D48)</f>
        <v/>
      </c>
      <c r="L21" s="176"/>
      <c r="M21" s="176"/>
      <c r="N21" s="176"/>
      <c r="O21" s="176"/>
      <c r="P21" s="177"/>
    </row>
    <row r="22" spans="1:16" ht="11.25" customHeight="1" x14ac:dyDescent="0.2">
      <c r="A22" s="64"/>
      <c r="B22" s="14"/>
      <c r="C22" s="126"/>
      <c r="D22" s="126"/>
      <c r="E22" s="126"/>
      <c r="F22" s="126"/>
      <c r="G22" s="4"/>
      <c r="H22" s="5"/>
      <c r="I22" s="105" t="s">
        <v>53</v>
      </c>
      <c r="J22" s="106"/>
      <c r="K22" s="140" t="s">
        <v>21</v>
      </c>
      <c r="L22" s="141"/>
      <c r="M22" s="141"/>
      <c r="N22" s="141"/>
      <c r="O22" s="141"/>
      <c r="P22" s="142"/>
    </row>
    <row r="23" spans="1:16" ht="11.25" customHeight="1" x14ac:dyDescent="0.2">
      <c r="A23" s="64"/>
      <c r="B23" s="14"/>
      <c r="C23" s="126"/>
      <c r="D23" s="126"/>
      <c r="E23" s="126"/>
      <c r="F23" s="126"/>
      <c r="G23" s="4"/>
      <c r="H23" s="5"/>
      <c r="I23" s="187" t="e">
        <f>VLOOKUP(I13,DADOS_GERAIS!C52:D61,2,0)</f>
        <v>#N/A</v>
      </c>
      <c r="J23" s="188"/>
      <c r="K23" s="178" t="str">
        <f>DADOS_GERAIS!D50</f>
        <v>Osmair Paes Landin</v>
      </c>
      <c r="L23" s="179"/>
      <c r="M23" s="179"/>
      <c r="N23" s="179"/>
      <c r="O23" s="179"/>
      <c r="P23" s="180"/>
    </row>
    <row r="24" spans="1:16" ht="11.25" customHeight="1" x14ac:dyDescent="0.2">
      <c r="A24" s="64"/>
      <c r="B24" s="14"/>
      <c r="C24" s="126"/>
      <c r="D24" s="126"/>
      <c r="E24" s="126"/>
      <c r="F24" s="126"/>
      <c r="G24" s="4"/>
      <c r="H24" s="5"/>
      <c r="I24" s="181" t="s">
        <v>22</v>
      </c>
      <c r="J24" s="182"/>
      <c r="K24" s="182"/>
      <c r="L24" s="182"/>
      <c r="M24" s="182"/>
      <c r="N24" s="182"/>
      <c r="O24" s="182"/>
      <c r="P24" s="183"/>
    </row>
    <row r="25" spans="1:16" ht="11.25" customHeight="1" x14ac:dyDescent="0.2">
      <c r="A25" s="64"/>
      <c r="B25" s="14"/>
      <c r="C25" s="126"/>
      <c r="D25" s="126"/>
      <c r="E25" s="126"/>
      <c r="F25" s="126"/>
      <c r="G25" s="4"/>
      <c r="H25" s="5"/>
      <c r="I25" s="148"/>
      <c r="J25" s="149"/>
      <c r="K25" s="149"/>
      <c r="L25" s="149"/>
      <c r="M25" s="149"/>
      <c r="N25" s="149"/>
      <c r="O25" s="149"/>
      <c r="P25" s="150"/>
    </row>
    <row r="26" spans="1:16" ht="11.25" customHeight="1" x14ac:dyDescent="0.2">
      <c r="A26" s="64"/>
      <c r="B26" s="14"/>
      <c r="C26" s="126"/>
      <c r="D26" s="126"/>
      <c r="E26" s="126"/>
      <c r="F26" s="126"/>
      <c r="G26" s="4"/>
      <c r="H26" s="5"/>
      <c r="I26" s="172"/>
      <c r="J26" s="173"/>
      <c r="K26" s="173"/>
      <c r="L26" s="173"/>
      <c r="M26" s="173"/>
      <c r="N26" s="173"/>
      <c r="O26" s="173"/>
      <c r="P26" s="174"/>
    </row>
    <row r="27" spans="1:16" ht="11.25" customHeight="1" x14ac:dyDescent="0.2">
      <c r="A27" s="64"/>
      <c r="B27" s="14"/>
      <c r="C27" s="126"/>
      <c r="D27" s="126"/>
      <c r="E27" s="126"/>
      <c r="F27" s="126"/>
      <c r="G27" s="4"/>
      <c r="H27" s="5"/>
      <c r="I27" s="172"/>
      <c r="J27" s="173"/>
      <c r="K27" s="173"/>
      <c r="L27" s="173"/>
      <c r="M27" s="173"/>
      <c r="N27" s="173"/>
      <c r="O27" s="173"/>
      <c r="P27" s="174"/>
    </row>
    <row r="28" spans="1:16" ht="11.25" customHeight="1" x14ac:dyDescent="0.2">
      <c r="A28" s="64"/>
      <c r="B28" s="14"/>
      <c r="C28" s="126"/>
      <c r="D28" s="126"/>
      <c r="E28" s="126"/>
      <c r="F28" s="126"/>
      <c r="G28" s="4"/>
      <c r="H28" s="5"/>
      <c r="I28" s="151"/>
      <c r="J28" s="152"/>
      <c r="K28" s="152"/>
      <c r="L28" s="152"/>
      <c r="M28" s="152"/>
      <c r="N28" s="152"/>
      <c r="O28" s="152"/>
      <c r="P28" s="153"/>
    </row>
    <row r="29" spans="1:16" ht="11.25" customHeight="1" x14ac:dyDescent="0.2">
      <c r="A29" s="64"/>
      <c r="B29" s="14"/>
      <c r="C29" s="126"/>
      <c r="D29" s="126"/>
      <c r="E29" s="126"/>
      <c r="F29" s="126"/>
      <c r="G29" s="4"/>
      <c r="H29" s="5"/>
      <c r="I29" s="192" t="s">
        <v>23</v>
      </c>
      <c r="J29" s="193"/>
      <c r="K29" s="193"/>
      <c r="L29" s="193"/>
      <c r="M29" s="193"/>
      <c r="N29" s="193"/>
      <c r="O29" s="193"/>
      <c r="P29" s="194"/>
    </row>
    <row r="30" spans="1:16" ht="11.25" customHeight="1" x14ac:dyDescent="0.2">
      <c r="A30" s="64"/>
      <c r="B30" s="14"/>
      <c r="C30" s="126"/>
      <c r="D30" s="126"/>
      <c r="E30" s="126"/>
      <c r="F30" s="126"/>
      <c r="G30" s="4"/>
      <c r="H30" s="5"/>
      <c r="I30" s="195"/>
      <c r="J30" s="196"/>
      <c r="K30" s="196"/>
      <c r="L30" s="196"/>
      <c r="M30" s="196"/>
      <c r="N30" s="196"/>
      <c r="O30" s="196"/>
      <c r="P30" s="197"/>
    </row>
    <row r="31" spans="1:16" ht="11.25" customHeight="1" x14ac:dyDescent="0.2">
      <c r="A31" s="64"/>
      <c r="B31" s="14"/>
      <c r="C31" s="126"/>
      <c r="D31" s="126"/>
      <c r="E31" s="126"/>
      <c r="F31" s="126"/>
      <c r="G31" s="4"/>
      <c r="H31" s="5"/>
      <c r="I31" s="184" t="s">
        <v>24</v>
      </c>
      <c r="J31" s="185"/>
      <c r="K31" s="186"/>
      <c r="L31" s="113" t="s">
        <v>25</v>
      </c>
      <c r="M31" s="33" t="s">
        <v>38</v>
      </c>
      <c r="N31" s="184" t="s">
        <v>26</v>
      </c>
      <c r="O31" s="185"/>
      <c r="P31" s="186"/>
    </row>
    <row r="32" spans="1:16" ht="11.25" customHeight="1" x14ac:dyDescent="0.2">
      <c r="A32" s="64"/>
      <c r="B32" s="14"/>
      <c r="C32" s="127"/>
      <c r="D32" s="127"/>
      <c r="E32" s="127"/>
      <c r="F32" s="127"/>
      <c r="G32" s="4"/>
      <c r="H32" s="5"/>
      <c r="I32" s="34"/>
      <c r="J32" s="35"/>
      <c r="K32" s="31"/>
      <c r="L32" s="202"/>
      <c r="M32" s="202"/>
      <c r="N32" s="148"/>
      <c r="O32" s="149"/>
      <c r="P32" s="150"/>
    </row>
    <row r="33" spans="1:19" ht="11.25" customHeight="1" x14ac:dyDescent="0.2">
      <c r="A33" s="64"/>
      <c r="B33" s="14"/>
      <c r="C33" s="126"/>
      <c r="D33" s="126"/>
      <c r="E33" s="126"/>
      <c r="F33" s="126"/>
      <c r="G33" s="4"/>
      <c r="H33" s="5"/>
      <c r="I33" s="163" t="s">
        <v>37</v>
      </c>
      <c r="J33" s="164"/>
      <c r="K33" s="165"/>
      <c r="L33" s="203"/>
      <c r="M33" s="203"/>
      <c r="N33" s="151"/>
      <c r="O33" s="152"/>
      <c r="P33" s="153"/>
    </row>
    <row r="34" spans="1:19" ht="11.25" customHeight="1" x14ac:dyDescent="0.2">
      <c r="A34" s="64"/>
      <c r="B34" s="14"/>
      <c r="C34" s="126"/>
      <c r="D34" s="126"/>
      <c r="E34" s="126"/>
      <c r="F34" s="126"/>
      <c r="G34" s="4"/>
      <c r="H34" s="5"/>
      <c r="I34" s="34"/>
      <c r="J34" s="35"/>
      <c r="K34" s="31"/>
      <c r="L34" s="146"/>
      <c r="M34" s="202"/>
      <c r="N34" s="148"/>
      <c r="O34" s="149"/>
      <c r="P34" s="150"/>
    </row>
    <row r="35" spans="1:19" ht="11.25" customHeight="1" x14ac:dyDescent="0.2">
      <c r="A35" s="64"/>
      <c r="B35" s="14"/>
      <c r="C35" s="127"/>
      <c r="D35" s="127"/>
      <c r="E35" s="127"/>
      <c r="F35" s="127"/>
      <c r="G35" s="4"/>
      <c r="H35" s="5"/>
      <c r="I35" s="163" t="s">
        <v>37</v>
      </c>
      <c r="J35" s="164"/>
      <c r="K35" s="165"/>
      <c r="L35" s="147"/>
      <c r="M35" s="203"/>
      <c r="N35" s="151"/>
      <c r="O35" s="152"/>
      <c r="P35" s="153"/>
    </row>
    <row r="36" spans="1:19" ht="11.25" customHeight="1" x14ac:dyDescent="0.2">
      <c r="A36" s="64"/>
      <c r="B36" s="14"/>
      <c r="C36" s="126"/>
      <c r="D36" s="126"/>
      <c r="E36" s="126"/>
      <c r="F36" s="126"/>
      <c r="G36" s="4"/>
      <c r="H36" s="5"/>
      <c r="I36" s="34"/>
      <c r="J36" s="35"/>
      <c r="K36" s="31"/>
      <c r="L36" s="146"/>
      <c r="M36" s="202"/>
      <c r="N36" s="148"/>
      <c r="O36" s="149"/>
      <c r="P36" s="150"/>
    </row>
    <row r="37" spans="1:19" ht="11.25" customHeight="1" x14ac:dyDescent="0.2">
      <c r="A37" s="64"/>
      <c r="B37" s="14"/>
      <c r="C37" s="126"/>
      <c r="D37" s="126"/>
      <c r="E37" s="126"/>
      <c r="F37" s="126"/>
      <c r="G37" s="4"/>
      <c r="H37" s="5"/>
      <c r="I37" s="163" t="s">
        <v>37</v>
      </c>
      <c r="J37" s="164"/>
      <c r="K37" s="165"/>
      <c r="L37" s="147"/>
      <c r="M37" s="203"/>
      <c r="N37" s="151"/>
      <c r="O37" s="152"/>
      <c r="P37" s="153"/>
    </row>
    <row r="38" spans="1:19" ht="11.25" customHeight="1" x14ac:dyDescent="0.2">
      <c r="A38" s="64"/>
      <c r="B38" s="14"/>
      <c r="C38" s="127"/>
      <c r="D38" s="127"/>
      <c r="E38" s="127"/>
      <c r="F38" s="127"/>
      <c r="G38" s="4"/>
      <c r="H38" s="5"/>
      <c r="I38" s="34"/>
      <c r="J38" s="35"/>
      <c r="K38" s="31"/>
      <c r="L38" s="146"/>
      <c r="M38" s="202"/>
      <c r="N38" s="148"/>
      <c r="O38" s="149"/>
      <c r="P38" s="150"/>
    </row>
    <row r="39" spans="1:19" ht="11.25" customHeight="1" x14ac:dyDescent="0.2">
      <c r="A39" s="64"/>
      <c r="B39" s="14"/>
      <c r="C39" s="126"/>
      <c r="D39" s="126"/>
      <c r="E39" s="126"/>
      <c r="F39" s="126"/>
      <c r="G39" s="4"/>
      <c r="H39" s="5"/>
      <c r="I39" s="163" t="s">
        <v>37</v>
      </c>
      <c r="J39" s="164"/>
      <c r="K39" s="165"/>
      <c r="L39" s="147"/>
      <c r="M39" s="203"/>
      <c r="N39" s="151"/>
      <c r="O39" s="152"/>
      <c r="P39" s="153"/>
    </row>
    <row r="40" spans="1:19" ht="11.25" customHeight="1" x14ac:dyDescent="0.2">
      <c r="A40" s="64"/>
      <c r="B40" s="14"/>
      <c r="C40" s="126"/>
      <c r="D40" s="126"/>
      <c r="E40" s="126"/>
      <c r="F40" s="126"/>
      <c r="G40" s="4"/>
      <c r="H40" s="5"/>
      <c r="I40" s="34"/>
      <c r="J40" s="35"/>
      <c r="K40" s="31"/>
      <c r="L40" s="146"/>
      <c r="M40" s="202"/>
      <c r="N40" s="148"/>
      <c r="O40" s="149"/>
      <c r="P40" s="150"/>
    </row>
    <row r="41" spans="1:19" ht="11.25" customHeight="1" x14ac:dyDescent="0.2">
      <c r="A41" s="64"/>
      <c r="B41" s="14"/>
      <c r="C41" s="127"/>
      <c r="D41" s="127"/>
      <c r="E41" s="127"/>
      <c r="F41" s="127"/>
      <c r="G41" s="4"/>
      <c r="H41" s="5"/>
      <c r="I41" s="163" t="s">
        <v>37</v>
      </c>
      <c r="J41" s="164"/>
      <c r="K41" s="165"/>
      <c r="L41" s="147"/>
      <c r="M41" s="203"/>
      <c r="N41" s="172"/>
      <c r="O41" s="173"/>
      <c r="P41" s="174"/>
    </row>
    <row r="42" spans="1:19" ht="11.25" customHeight="1" x14ac:dyDescent="0.2">
      <c r="A42" s="64"/>
      <c r="B42" s="14"/>
      <c r="C42" s="126"/>
      <c r="D42" s="126"/>
      <c r="E42" s="126"/>
      <c r="F42" s="126"/>
      <c r="G42" s="4"/>
      <c r="H42" s="5"/>
      <c r="I42" s="34"/>
      <c r="J42" s="35"/>
      <c r="K42" s="31"/>
      <c r="L42" s="146"/>
      <c r="M42" s="202"/>
      <c r="N42" s="172"/>
      <c r="O42" s="173"/>
      <c r="P42" s="174"/>
      <c r="R42" s="1"/>
      <c r="S42" s="1"/>
    </row>
    <row r="43" spans="1:19" ht="11.25" customHeight="1" x14ac:dyDescent="0.2">
      <c r="A43" s="64"/>
      <c r="B43" s="14"/>
      <c r="C43" s="126"/>
      <c r="D43" s="126"/>
      <c r="E43" s="126"/>
      <c r="F43" s="126"/>
      <c r="G43" s="4"/>
      <c r="H43" s="5"/>
      <c r="I43" s="163" t="s">
        <v>37</v>
      </c>
      <c r="J43" s="164"/>
      <c r="K43" s="165"/>
      <c r="L43" s="147"/>
      <c r="M43" s="203"/>
      <c r="N43" s="151"/>
      <c r="O43" s="152"/>
      <c r="P43" s="153"/>
    </row>
    <row r="44" spans="1:19" ht="11.25" customHeight="1" x14ac:dyDescent="0.2">
      <c r="A44" s="64"/>
      <c r="B44" s="14"/>
      <c r="C44" s="127"/>
      <c r="D44" s="127"/>
      <c r="E44" s="127"/>
      <c r="F44" s="127"/>
      <c r="G44" s="4"/>
      <c r="H44" s="5"/>
      <c r="I44" s="140" t="s">
        <v>54</v>
      </c>
      <c r="J44" s="141"/>
      <c r="K44" s="142"/>
      <c r="L44" s="140" t="s">
        <v>55</v>
      </c>
      <c r="M44" s="142"/>
      <c r="N44" s="140" t="s">
        <v>27</v>
      </c>
      <c r="O44" s="141"/>
      <c r="P44" s="142"/>
    </row>
    <row r="45" spans="1:19" ht="12.75" customHeight="1" x14ac:dyDescent="0.2">
      <c r="A45" s="64"/>
      <c r="B45" s="14"/>
      <c r="C45" s="127"/>
      <c r="D45" s="127"/>
      <c r="E45" s="127"/>
      <c r="F45" s="127"/>
      <c r="G45" s="4"/>
      <c r="H45" s="5"/>
      <c r="I45" s="225" t="str">
        <f>IF(A3="","___/___/___",A3)</f>
        <v>___/___/___</v>
      </c>
      <c r="J45" s="226"/>
      <c r="K45" s="227"/>
      <c r="L45" s="225" t="str">
        <f>IF(A3="","___/___/___",MAX(A3:A45))</f>
        <v>___/___/___</v>
      </c>
      <c r="M45" s="227"/>
      <c r="N45" s="137" t="str">
        <f>IF(A3="","",IF(I13='UC9-frente'!I13,SUM(B3:B45)+'UC9-frente'!N45,SUM(B3:B45)))</f>
        <v/>
      </c>
      <c r="O45" s="138"/>
      <c r="P45" s="139"/>
    </row>
    <row r="50" spans="6:6" x14ac:dyDescent="0.2">
      <c r="F50" t="s">
        <v>44</v>
      </c>
    </row>
  </sheetData>
  <sheetProtection sheet="1" scenarios="1"/>
  <protectedRanges>
    <protectedRange sqref="A3:F45 I13" name="Intervalo1"/>
  </protectedRanges>
  <mergeCells count="112">
    <mergeCell ref="C44:F44"/>
    <mergeCell ref="I44:K44"/>
    <mergeCell ref="L44:M44"/>
    <mergeCell ref="N44:P44"/>
    <mergeCell ref="C45:F45"/>
    <mergeCell ref="I45:K45"/>
    <mergeCell ref="L45:M45"/>
    <mergeCell ref="N45:P45"/>
    <mergeCell ref="C42:F42"/>
    <mergeCell ref="L42:L43"/>
    <mergeCell ref="M42:M43"/>
    <mergeCell ref="N42:P43"/>
    <mergeCell ref="C43:F43"/>
    <mergeCell ref="I43:K43"/>
    <mergeCell ref="C40:F40"/>
    <mergeCell ref="L40:L41"/>
    <mergeCell ref="M40:M41"/>
    <mergeCell ref="N40:P41"/>
    <mergeCell ref="C41:F41"/>
    <mergeCell ref="I41:K41"/>
    <mergeCell ref="C38:F38"/>
    <mergeCell ref="L38:L39"/>
    <mergeCell ref="M38:M39"/>
    <mergeCell ref="N38:P39"/>
    <mergeCell ref="C39:F39"/>
    <mergeCell ref="I39:K39"/>
    <mergeCell ref="C36:F36"/>
    <mergeCell ref="L36:L37"/>
    <mergeCell ref="M36:M37"/>
    <mergeCell ref="N36:P37"/>
    <mergeCell ref="C37:F37"/>
    <mergeCell ref="I37:K37"/>
    <mergeCell ref="C34:F34"/>
    <mergeCell ref="L34:L35"/>
    <mergeCell ref="M34:M35"/>
    <mergeCell ref="N34:P35"/>
    <mergeCell ref="C35:F35"/>
    <mergeCell ref="I35:K35"/>
    <mergeCell ref="C32:F32"/>
    <mergeCell ref="L32:L33"/>
    <mergeCell ref="M32:M33"/>
    <mergeCell ref="N32:P33"/>
    <mergeCell ref="C33:F33"/>
    <mergeCell ref="I33:K33"/>
    <mergeCell ref="C29:F29"/>
    <mergeCell ref="I29:P30"/>
    <mergeCell ref="C30:F30"/>
    <mergeCell ref="C31:F31"/>
    <mergeCell ref="I31:K31"/>
    <mergeCell ref="N31:P31"/>
    <mergeCell ref="C24:F24"/>
    <mergeCell ref="I24:P24"/>
    <mergeCell ref="C25:F25"/>
    <mergeCell ref="I25:P28"/>
    <mergeCell ref="C26:F26"/>
    <mergeCell ref="C27:F27"/>
    <mergeCell ref="C28:F28"/>
    <mergeCell ref="C21:F21"/>
    <mergeCell ref="I21:J21"/>
    <mergeCell ref="K21:P21"/>
    <mergeCell ref="C22:F22"/>
    <mergeCell ref="K22:P22"/>
    <mergeCell ref="C23:F23"/>
    <mergeCell ref="I23:J23"/>
    <mergeCell ref="K23:P23"/>
    <mergeCell ref="C19:F19"/>
    <mergeCell ref="I19:J19"/>
    <mergeCell ref="K19:L19"/>
    <mergeCell ref="M19:O19"/>
    <mergeCell ref="C20:F20"/>
    <mergeCell ref="I20:J20"/>
    <mergeCell ref="K20:L20"/>
    <mergeCell ref="M20:O20"/>
    <mergeCell ref="C17:F17"/>
    <mergeCell ref="I17:J17"/>
    <mergeCell ref="K17:P17"/>
    <mergeCell ref="C18:F18"/>
    <mergeCell ref="I18:J18"/>
    <mergeCell ref="K18:L18"/>
    <mergeCell ref="M18:O18"/>
    <mergeCell ref="C14:F14"/>
    <mergeCell ref="I14:P14"/>
    <mergeCell ref="C15:F15"/>
    <mergeCell ref="I15:P16"/>
    <mergeCell ref="C16:F16"/>
    <mergeCell ref="C10:F10"/>
    <mergeCell ref="I10:P10"/>
    <mergeCell ref="C11:F11"/>
    <mergeCell ref="I11:P11"/>
    <mergeCell ref="C12:F12"/>
    <mergeCell ref="I12:P12"/>
    <mergeCell ref="C9:F9"/>
    <mergeCell ref="M9:N9"/>
    <mergeCell ref="C4:F4"/>
    <mergeCell ref="C5:F5"/>
    <mergeCell ref="I5:P5"/>
    <mergeCell ref="C6:F6"/>
    <mergeCell ref="I6:P6"/>
    <mergeCell ref="C7:F7"/>
    <mergeCell ref="C13:F13"/>
    <mergeCell ref="I13:P13"/>
    <mergeCell ref="A1:A2"/>
    <mergeCell ref="B1:B2"/>
    <mergeCell ref="C1:F2"/>
    <mergeCell ref="L1:P1"/>
    <mergeCell ref="L2:P2"/>
    <mergeCell ref="C3:F3"/>
    <mergeCell ref="L3:P3"/>
    <mergeCell ref="C8:F8"/>
    <mergeCell ref="I8:J8"/>
    <mergeCell ref="K8:L8"/>
    <mergeCell ref="M8:N8"/>
  </mergeCells>
  <conditionalFormatting sqref="I6:P6 O9:P9 I18 I11 I21 I23 K23 I15">
    <cfRule type="cellIs" dxfId="1" priority="2" operator="equal">
      <formula>0</formula>
    </cfRule>
  </conditionalFormatting>
  <conditionalFormatting sqref="I13">
    <cfRule type="cellIs" dxfId="0" priority="1" operator="equal">
      <formula>"Componentes Curriculares"</formula>
    </cfRule>
  </conditionalFormatting>
  <printOptions horizontalCentered="1" verticalCentered="1"/>
  <pageMargins left="0" right="0" top="0" bottom="0" header="0" footer="0"/>
  <pageSetup paperSize="9" fitToHeight="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23553" r:id="rId4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23553" r:id="rId4"/>
      </mc:Fallback>
    </mc:AlternateContent>
    <mc:AlternateContent xmlns:mc="http://schemas.openxmlformats.org/markup-compatibility/2006">
      <mc:Choice Requires="x14">
        <oleObject progId="MSPhotoEd.3" shapeId="23554" r:id="rId6">
          <objectPr defaultSize="0" autoPict="0" r:id="rId5">
            <anchor moveWithCells="1" sizeWithCells="1">
              <from>
                <xdr:col>7</xdr:col>
                <xdr:colOff>104775</xdr:colOff>
                <xdr:row>0</xdr:row>
                <xdr:rowOff>28575</xdr:rowOff>
              </from>
              <to>
                <xdr:col>10</xdr:col>
                <xdr:colOff>561975</xdr:colOff>
                <xdr:row>2</xdr:row>
                <xdr:rowOff>95250</xdr:rowOff>
              </to>
            </anchor>
          </objectPr>
        </oleObject>
      </mc:Choice>
      <mc:Fallback>
        <oleObject progId="MSPhotoEd.3" shapeId="23554" r:id="rId6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DADOS_GERAIS!$C$51:$C$61</xm:f>
          </x14:formula1>
          <xm:sqref>I13:P13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51"/>
  <sheetViews>
    <sheetView showGridLines="0" zoomScaleNormal="100" workbookViewId="0">
      <selection activeCell="BA11" sqref="BA11"/>
    </sheetView>
  </sheetViews>
  <sheetFormatPr defaultRowHeight="12.75" x14ac:dyDescent="0.2"/>
  <cols>
    <col min="1" max="1" width="4.85546875" style="40" customWidth="1"/>
    <col min="2" max="2" width="29.140625" style="24" customWidth="1"/>
    <col min="3" max="3" width="4.42578125" style="24" customWidth="1"/>
    <col min="4" max="43" width="2.140625" style="24" customWidth="1"/>
    <col min="44" max="44" width="5.85546875" style="24" customWidth="1"/>
    <col min="45" max="45" width="3.85546875" style="24" customWidth="1"/>
    <col min="46" max="46" width="5.5703125" style="24" customWidth="1"/>
    <col min="47" max="47" width="7.5703125" style="24" customWidth="1"/>
    <col min="48" max="16384" width="9.140625" style="24"/>
  </cols>
  <sheetData>
    <row r="1" spans="1:47" ht="12.75" customHeight="1" x14ac:dyDescent="0.2">
      <c r="A1" s="219" t="s">
        <v>2</v>
      </c>
      <c r="B1" s="220" t="s">
        <v>3</v>
      </c>
      <c r="C1" s="86" t="s">
        <v>4</v>
      </c>
      <c r="D1" s="88"/>
      <c r="E1" s="76"/>
      <c r="F1" s="76"/>
      <c r="G1" s="76"/>
      <c r="H1" s="76"/>
      <c r="I1" s="76"/>
      <c r="J1" s="76"/>
      <c r="K1" s="76"/>
      <c r="L1" s="76"/>
      <c r="M1" s="76"/>
      <c r="N1" s="77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  <c r="AR1" s="223" t="s">
        <v>82</v>
      </c>
      <c r="AS1" s="223" t="s">
        <v>5</v>
      </c>
      <c r="AT1" s="223" t="s">
        <v>2</v>
      </c>
      <c r="AU1" s="223" t="s">
        <v>6</v>
      </c>
    </row>
    <row r="2" spans="1:47" x14ac:dyDescent="0.2">
      <c r="A2" s="219"/>
      <c r="B2" s="220"/>
      <c r="C2" s="85" t="s">
        <v>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224"/>
      <c r="AS2" s="224"/>
      <c r="AT2" s="224"/>
      <c r="AU2" s="224"/>
    </row>
    <row r="3" spans="1:47" ht="12" customHeight="1" x14ac:dyDescent="0.2">
      <c r="A3" s="36">
        <f>IF(B3="","",1)</f>
        <v>1</v>
      </c>
      <c r="B3" s="212" t="str">
        <f>IF(ISBLANK(DADOS_GERAIS!C4),"",DADOS_GERAIS!C4)</f>
        <v>DIOGO HENRIQUE DOS SANTOS</v>
      </c>
      <c r="C3" s="21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37">
        <f>IF(B3="","",IF('UC10-frente'!$I$13='UC9-frente'!$I$13,COUNTIFS(D3:AQ3,"|")+'UC9-verso'!AR3,COUNTIFS(D3:AQ3,"|")))</f>
        <v>0</v>
      </c>
      <c r="AS3" s="14"/>
      <c r="AT3" s="37">
        <f>A3</f>
        <v>1</v>
      </c>
      <c r="AU3" s="66"/>
    </row>
    <row r="4" spans="1:47" ht="12" customHeight="1" x14ac:dyDescent="0.2">
      <c r="A4" s="36">
        <f>IF(B4="","",2)</f>
        <v>2</v>
      </c>
      <c r="B4" s="221" t="str">
        <f>IF(ISBLANK(DADOS_GERAIS!C5),"",DADOS_GERAIS!C5)</f>
        <v>Gisele Cristina Werkling</v>
      </c>
      <c r="C4" s="22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37">
        <f>IF(B4="","",IF('UC10-frente'!$I$13='UC9-frente'!$I$13,COUNTIFS(D4:AQ4,"|")+'UC9-verso'!AR4,COUNTIFS(D4:AQ4,"|")))</f>
        <v>0</v>
      </c>
      <c r="AS4" s="14"/>
      <c r="AT4" s="37">
        <f t="shared" ref="AT4:AT34" si="0">A4</f>
        <v>2</v>
      </c>
      <c r="AU4" s="66"/>
    </row>
    <row r="5" spans="1:47" ht="12" customHeight="1" x14ac:dyDescent="0.2">
      <c r="A5" s="36">
        <f>IF(B5="","",3)</f>
        <v>3</v>
      </c>
      <c r="B5" s="221" t="str">
        <f>IF(ISBLANK(DADOS_GERAIS!C6),"",DADOS_GERAIS!C6)</f>
        <v>IGOR HENRIQUE DA SILVA</v>
      </c>
      <c r="C5" s="22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37">
        <f>IF(B5="","",IF('UC10-frente'!$I$13='UC9-frente'!$I$13,COUNTIFS(D5:AQ5,"|")+'UC9-verso'!AR5,COUNTIFS(D5:AQ5,"|")))</f>
        <v>0</v>
      </c>
      <c r="AS5" s="14"/>
      <c r="AT5" s="37">
        <f t="shared" si="0"/>
        <v>3</v>
      </c>
      <c r="AU5" s="66"/>
    </row>
    <row r="6" spans="1:47" ht="12" customHeight="1" x14ac:dyDescent="0.2">
      <c r="A6" s="36">
        <f>IF(B6="","",4)</f>
        <v>4</v>
      </c>
      <c r="B6" s="221" t="str">
        <f>IF(ISBLANK(DADOS_GERAIS!C7),"",DADOS_GERAIS!C7)</f>
        <v>JARED EDUARDO MENTADO MENDONZA</v>
      </c>
      <c r="C6" s="222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37">
        <f>IF(B6="","",IF('UC10-frente'!$I$13='UC9-frente'!$I$13,COUNTIFS(D6:AQ6,"|")+'UC9-verso'!AR6,COUNTIFS(D6:AQ6,"|")))</f>
        <v>0</v>
      </c>
      <c r="AS6" s="14"/>
      <c r="AT6" s="37">
        <f t="shared" si="0"/>
        <v>4</v>
      </c>
      <c r="AU6" s="66"/>
    </row>
    <row r="7" spans="1:47" ht="12" customHeight="1" x14ac:dyDescent="0.2">
      <c r="A7" s="36">
        <f>IF(B7="","",5)</f>
        <v>5</v>
      </c>
      <c r="B7" s="221" t="str">
        <f>IF(ISBLANK(DADOS_GERAIS!C8),"",DADOS_GERAIS!C8)</f>
        <v>JHONATAN HENRIQUE DA SILVA PIRES DA CRUZ</v>
      </c>
      <c r="C7" s="222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37">
        <f>IF(B7="","",IF('UC10-frente'!$I$13='UC9-frente'!$I$13,COUNTIFS(D7:AQ7,"|")+'UC9-verso'!AR7,COUNTIFS(D7:AQ7,"|")))</f>
        <v>0</v>
      </c>
      <c r="AS7" s="14"/>
      <c r="AT7" s="37">
        <f t="shared" si="0"/>
        <v>5</v>
      </c>
      <c r="AU7" s="66"/>
    </row>
    <row r="8" spans="1:47" ht="12" customHeight="1" x14ac:dyDescent="0.2">
      <c r="A8" s="36">
        <f>IF(B8="","",6)</f>
        <v>6</v>
      </c>
      <c r="B8" s="221" t="str">
        <f>IF(ISBLANK(DADOS_GERAIS!C9),"",DADOS_GERAIS!C9)</f>
        <v>JONATAS BARBOSA DA SILVA</v>
      </c>
      <c r="C8" s="222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37">
        <f>IF(B8="","",IF('UC10-frente'!$I$13='UC9-frente'!$I$13,COUNTIFS(D8:AQ8,"|")+'UC9-verso'!AR8,COUNTIFS(D8:AQ8,"|")))</f>
        <v>0</v>
      </c>
      <c r="AS8" s="14"/>
      <c r="AT8" s="37">
        <f t="shared" si="0"/>
        <v>6</v>
      </c>
      <c r="AU8" s="66"/>
    </row>
    <row r="9" spans="1:47" ht="12" customHeight="1" x14ac:dyDescent="0.2">
      <c r="A9" s="36">
        <f>IF(B9="","",7)</f>
        <v>7</v>
      </c>
      <c r="B9" s="221" t="str">
        <f>IF(ISBLANK(DADOS_GERAIS!C10),"",DADOS_GERAIS!C10)</f>
        <v>MARCOS DA CRUZ OLIVEIRA</v>
      </c>
      <c r="C9" s="22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37">
        <f>IF(B9="","",IF('UC10-frente'!$I$13='UC9-frente'!$I$13,COUNTIFS(D9:AQ9,"|")+'UC9-verso'!AR9,COUNTIFS(D9:AQ9,"|")))</f>
        <v>0</v>
      </c>
      <c r="AS9" s="14"/>
      <c r="AT9" s="37">
        <f t="shared" si="0"/>
        <v>7</v>
      </c>
      <c r="AU9" s="66"/>
    </row>
    <row r="10" spans="1:47" ht="12" customHeight="1" x14ac:dyDescent="0.2">
      <c r="A10" s="36">
        <f>IF(B10="","",8)</f>
        <v>8</v>
      </c>
      <c r="B10" s="221" t="str">
        <f>IF(ISBLANK(DADOS_GERAIS!C11),"",DADOS_GERAIS!C11)</f>
        <v>MARCOS PAULO ALVES PEREIRA</v>
      </c>
      <c r="C10" s="222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37">
        <f>IF(B10="","",IF('UC10-frente'!$I$13='UC9-frente'!$I$13,COUNTIFS(D10:AQ10,"|")+'UC9-verso'!AR10,COUNTIFS(D10:AQ10,"|")))</f>
        <v>0</v>
      </c>
      <c r="AS10" s="14"/>
      <c r="AT10" s="37">
        <f t="shared" si="0"/>
        <v>8</v>
      </c>
      <c r="AU10" s="66"/>
    </row>
    <row r="11" spans="1:47" ht="12" customHeight="1" x14ac:dyDescent="0.2">
      <c r="A11" s="36">
        <f>IF(B11="","",9)</f>
        <v>9</v>
      </c>
      <c r="B11" s="221" t="str">
        <f>IF(ISBLANK(DADOS_GERAIS!C12),"",DADOS_GERAIS!C12)</f>
        <v>MATHEUS HENRIQUE DOS REIS</v>
      </c>
      <c r="C11" s="222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37">
        <f>IF(B11="","",IF('UC10-frente'!$I$13='UC9-frente'!$I$13,COUNTIFS(D11:AQ11,"|")+'UC9-verso'!AR11,COUNTIFS(D11:AQ11,"|")))</f>
        <v>0</v>
      </c>
      <c r="AS11" s="14"/>
      <c r="AT11" s="37">
        <f t="shared" si="0"/>
        <v>9</v>
      </c>
      <c r="AU11" s="66"/>
    </row>
    <row r="12" spans="1:47" ht="12" customHeight="1" x14ac:dyDescent="0.2">
      <c r="A12" s="36">
        <f>IF(B12="","",10)</f>
        <v>10</v>
      </c>
      <c r="B12" s="221" t="str">
        <f>IF(ISBLANK(DADOS_GERAIS!C13),"",DADOS_GERAIS!C13)</f>
        <v>MATHEUS SUMERE</v>
      </c>
      <c r="C12" s="222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37">
        <f>IF(B12="","",IF('UC10-frente'!$I$13='UC9-frente'!$I$13,COUNTIFS(D12:AQ12,"|")+'UC9-verso'!AR12,COUNTIFS(D12:AQ12,"|")))</f>
        <v>0</v>
      </c>
      <c r="AS12" s="14"/>
      <c r="AT12" s="37">
        <f t="shared" si="0"/>
        <v>10</v>
      </c>
      <c r="AU12" s="66"/>
    </row>
    <row r="13" spans="1:47" ht="12" customHeight="1" x14ac:dyDescent="0.2">
      <c r="A13" s="36">
        <f>IF(B13="","",11)</f>
        <v>11</v>
      </c>
      <c r="B13" s="212" t="str">
        <f>IF(ISBLANK(DADOS_GERAIS!C14),"",DADOS_GERAIS!C14)</f>
        <v>MAURO DA SILVA JUNIOR</v>
      </c>
      <c r="C13" s="212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37">
        <f>IF(B13="","",IF('UC10-frente'!$I$13='UC9-frente'!$I$13,COUNTIFS(D13:AQ13,"|")+'UC9-verso'!AR13,COUNTIFS(D13:AQ13,"|")))</f>
        <v>0</v>
      </c>
      <c r="AS13" s="14"/>
      <c r="AT13" s="37">
        <f t="shared" si="0"/>
        <v>11</v>
      </c>
      <c r="AU13" s="66"/>
    </row>
    <row r="14" spans="1:47" ht="12" customHeight="1" x14ac:dyDescent="0.2">
      <c r="A14" s="36">
        <f>IF(B14="","",12)</f>
        <v>12</v>
      </c>
      <c r="B14" s="212" t="str">
        <f>IF(ISBLANK(DADOS_GERAIS!C15),"",DADOS_GERAIS!C15)</f>
        <v>PIETRA LIMA</v>
      </c>
      <c r="C14" s="212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37">
        <f>IF(B14="","",IF('UC10-frente'!$I$13='UC9-frente'!$I$13,COUNTIFS(D14:AQ14,"|")+'UC9-verso'!AR14,COUNTIFS(D14:AQ14,"|")))</f>
        <v>0</v>
      </c>
      <c r="AS14" s="14"/>
      <c r="AT14" s="37">
        <f t="shared" si="0"/>
        <v>12</v>
      </c>
      <c r="AU14" s="66"/>
    </row>
    <row r="15" spans="1:47" ht="12" customHeight="1" x14ac:dyDescent="0.2">
      <c r="A15" s="36">
        <f>IF(B15="","",13)</f>
        <v>13</v>
      </c>
      <c r="B15" s="212" t="str">
        <f>IF(ISBLANK(DADOS_GERAIS!C16),"",DADOS_GERAIS!C16)</f>
        <v>SAMUEL ALFONSO MENTADO MENDONZA</v>
      </c>
      <c r="C15" s="21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37">
        <f>IF(B15="","",IF('UC10-frente'!$I$13='UC9-frente'!$I$13,COUNTIFS(D15:AQ15,"|")+'UC9-verso'!AR15,COUNTIFS(D15:AQ15,"|")))</f>
        <v>0</v>
      </c>
      <c r="AS15" s="14"/>
      <c r="AT15" s="37">
        <f t="shared" si="0"/>
        <v>13</v>
      </c>
      <c r="AU15" s="66"/>
    </row>
    <row r="16" spans="1:47" ht="12" customHeight="1" x14ac:dyDescent="0.2">
      <c r="A16" s="36">
        <f>IF(B16="","",14)</f>
        <v>14</v>
      </c>
      <c r="B16" s="212" t="str">
        <f>IF(ISBLANK(DADOS_GERAIS!C17),"",DADOS_GERAIS!C17)</f>
        <v>THIAGO DAVI LIMA ALMEIDA</v>
      </c>
      <c r="C16" s="21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37">
        <f>IF(B16="","",IF('UC10-frente'!$I$13='UC9-frente'!$I$13,COUNTIFS(D16:AQ16,"|")+'UC9-verso'!AR16,COUNTIFS(D16:AQ16,"|")))</f>
        <v>0</v>
      </c>
      <c r="AS16" s="14"/>
      <c r="AT16" s="37">
        <f t="shared" si="0"/>
        <v>14</v>
      </c>
      <c r="AU16" s="66"/>
    </row>
    <row r="17" spans="1:47" ht="12" customHeight="1" x14ac:dyDescent="0.2">
      <c r="A17" s="36" t="str">
        <f>IF(B17="","",15)</f>
        <v/>
      </c>
      <c r="B17" s="212" t="str">
        <f>IF(ISBLANK(DADOS_GERAIS!C18),"",DADOS_GERAIS!C18)</f>
        <v/>
      </c>
      <c r="C17" s="212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37" t="str">
        <f>IF(B17="","",IF('UC10-frente'!$I$13='UC9-frente'!$I$13,COUNTIFS(D17:AQ17,"|")+'UC9-verso'!AR17,COUNTIFS(D17:AQ17,"|")))</f>
        <v/>
      </c>
      <c r="AS17" s="14"/>
      <c r="AT17" s="37" t="str">
        <f t="shared" si="0"/>
        <v/>
      </c>
      <c r="AU17" s="66"/>
    </row>
    <row r="18" spans="1:47" ht="12" customHeight="1" x14ac:dyDescent="0.2">
      <c r="A18" s="36" t="str">
        <f>IF(B18="","",16)</f>
        <v/>
      </c>
      <c r="B18" s="212" t="str">
        <f>IF(ISBLANK(DADOS_GERAIS!C19),"",DADOS_GERAIS!C19)</f>
        <v/>
      </c>
      <c r="C18" s="21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37" t="str">
        <f>IF(B18="","",IF('UC10-frente'!$I$13='UC9-frente'!$I$13,COUNTIFS(D18:AQ18,"|")+'UC9-verso'!AR18,COUNTIFS(D18:AQ18,"|")))</f>
        <v/>
      </c>
      <c r="AS18" s="14"/>
      <c r="AT18" s="37" t="str">
        <f t="shared" si="0"/>
        <v/>
      </c>
      <c r="AU18" s="66"/>
    </row>
    <row r="19" spans="1:47" ht="12" customHeight="1" x14ac:dyDescent="0.2">
      <c r="A19" s="36" t="str">
        <f>IF(B19="","",17)</f>
        <v/>
      </c>
      <c r="B19" s="212" t="str">
        <f>IF(ISBLANK(DADOS_GERAIS!C20),"",DADOS_GERAIS!C20)</f>
        <v/>
      </c>
      <c r="C19" s="212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37" t="str">
        <f>IF(B19="","",IF('UC10-frente'!$I$13='UC9-frente'!$I$13,COUNTIFS(D19:AQ19,"|")+'UC9-verso'!AR19,COUNTIFS(D19:AQ19,"|")))</f>
        <v/>
      </c>
      <c r="AS19" s="14"/>
      <c r="AT19" s="37" t="str">
        <f t="shared" si="0"/>
        <v/>
      </c>
      <c r="AU19" s="66"/>
    </row>
    <row r="20" spans="1:47" ht="12" customHeight="1" x14ac:dyDescent="0.2">
      <c r="A20" s="36" t="str">
        <f>IF(B20="","",18)</f>
        <v/>
      </c>
      <c r="B20" s="212" t="str">
        <f>IF(ISBLANK(DADOS_GERAIS!C21),"",DADOS_GERAIS!C21)</f>
        <v/>
      </c>
      <c r="C20" s="212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37" t="str">
        <f>IF(B20="","",IF('UC10-frente'!$I$13='UC9-frente'!$I$13,COUNTIFS(D20:AQ20,"|")+'UC9-verso'!AR20,COUNTIFS(D20:AQ20,"|")))</f>
        <v/>
      </c>
      <c r="AS20" s="14"/>
      <c r="AT20" s="37" t="str">
        <f t="shared" si="0"/>
        <v/>
      </c>
      <c r="AU20" s="66"/>
    </row>
    <row r="21" spans="1:47" ht="12" customHeight="1" x14ac:dyDescent="0.2">
      <c r="A21" s="36" t="str">
        <f>IF(B21="","",19)</f>
        <v/>
      </c>
      <c r="B21" s="212" t="str">
        <f>IF(ISBLANK(DADOS_GERAIS!C22),"",DADOS_GERAIS!C22)</f>
        <v/>
      </c>
      <c r="C21" s="212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37" t="str">
        <f>IF(B21="","",IF('UC10-frente'!$I$13='UC9-frente'!$I$13,COUNTIFS(D21:AQ21,"|")+'UC9-verso'!AR21,COUNTIFS(D21:AQ21,"|")))</f>
        <v/>
      </c>
      <c r="AS21" s="14"/>
      <c r="AT21" s="37" t="str">
        <f t="shared" si="0"/>
        <v/>
      </c>
      <c r="AU21" s="66"/>
    </row>
    <row r="22" spans="1:47" ht="12" customHeight="1" x14ac:dyDescent="0.2">
      <c r="A22" s="36" t="str">
        <f>IF(B22="","",20)</f>
        <v/>
      </c>
      <c r="B22" s="212" t="str">
        <f>IF(ISBLANK(DADOS_GERAIS!C23),"",DADOS_GERAIS!C23)</f>
        <v/>
      </c>
      <c r="C22" s="212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37" t="str">
        <f>IF(B22="","",IF('UC10-frente'!$I$13='UC9-frente'!$I$13,COUNTIFS(D22:AQ22,"|")+'UC9-verso'!AR22,COUNTIFS(D22:AQ22,"|")))</f>
        <v/>
      </c>
      <c r="AS22" s="14"/>
      <c r="AT22" s="37" t="str">
        <f t="shared" si="0"/>
        <v/>
      </c>
      <c r="AU22" s="66"/>
    </row>
    <row r="23" spans="1:47" ht="12" customHeight="1" x14ac:dyDescent="0.2">
      <c r="A23" s="36" t="str">
        <f>IF(B23="","",21)</f>
        <v/>
      </c>
      <c r="B23" s="212" t="str">
        <f>IF(ISBLANK(DADOS_GERAIS!C24),"",DADOS_GERAIS!C24)</f>
        <v/>
      </c>
      <c r="C23" s="212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37" t="str">
        <f>IF(B23="","",IF('UC10-frente'!$I$13='UC9-frente'!$I$13,COUNTIFS(D23:AQ23,"|")+'UC9-verso'!AR23,COUNTIFS(D23:AQ23,"|")))</f>
        <v/>
      </c>
      <c r="AS23" s="14"/>
      <c r="AT23" s="37" t="str">
        <f t="shared" si="0"/>
        <v/>
      </c>
      <c r="AU23" s="66"/>
    </row>
    <row r="24" spans="1:47" ht="12" customHeight="1" x14ac:dyDescent="0.2">
      <c r="A24" s="36" t="str">
        <f>IF(B24="","",22)</f>
        <v/>
      </c>
      <c r="B24" s="212" t="str">
        <f>IF(ISBLANK(DADOS_GERAIS!C25),"",DADOS_GERAIS!C25)</f>
        <v/>
      </c>
      <c r="C24" s="212"/>
      <c r="D24" s="69"/>
      <c r="E24" s="69"/>
      <c r="F24" s="69"/>
      <c r="G24" s="52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79"/>
      <c r="AJ24" s="52"/>
      <c r="AK24" s="52"/>
      <c r="AL24" s="52"/>
      <c r="AM24" s="53"/>
      <c r="AN24" s="80"/>
      <c r="AO24" s="69"/>
      <c r="AP24" s="69"/>
      <c r="AQ24" s="69"/>
      <c r="AR24" s="37" t="str">
        <f>IF(B24="","",IF('UC10-frente'!$I$13='UC9-frente'!$I$13,COUNTIFS(D24:AQ24,"|")+'UC9-verso'!AR24,COUNTIFS(D24:AQ24,"|")))</f>
        <v/>
      </c>
      <c r="AS24" s="15"/>
      <c r="AT24" s="37" t="str">
        <f t="shared" si="0"/>
        <v/>
      </c>
      <c r="AU24" s="66"/>
    </row>
    <row r="25" spans="1:47" ht="12" customHeight="1" x14ac:dyDescent="0.2">
      <c r="A25" s="36" t="str">
        <f>IF(B25="","",23)</f>
        <v/>
      </c>
      <c r="B25" s="212" t="str">
        <f>IF(ISBLANK(DADOS_GERAIS!C26),"",DADOS_GERAIS!C26)</f>
        <v/>
      </c>
      <c r="C25" s="212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57"/>
      <c r="AJ25" s="55"/>
      <c r="AK25" s="55"/>
      <c r="AL25" s="55"/>
      <c r="AM25" s="56"/>
      <c r="AN25" s="80"/>
      <c r="AO25" s="69"/>
      <c r="AP25" s="69"/>
      <c r="AQ25" s="69"/>
      <c r="AR25" s="37" t="str">
        <f>IF(B25="","",IF('UC10-frente'!$I$13='UC9-frente'!$I$13,COUNTIFS(D25:AQ25,"|")+'UC9-verso'!AR25,COUNTIFS(D25:AQ25,"|")))</f>
        <v/>
      </c>
      <c r="AS25" s="15"/>
      <c r="AT25" s="37" t="str">
        <f t="shared" si="0"/>
        <v/>
      </c>
      <c r="AU25" s="66"/>
    </row>
    <row r="26" spans="1:47" ht="12" customHeight="1" x14ac:dyDescent="0.2">
      <c r="A26" s="36" t="str">
        <f>IF(B26="","",24)</f>
        <v/>
      </c>
      <c r="B26" s="212" t="str">
        <f>IF(ISBLANK(DADOS_GERAIS!C27),"",DADOS_GERAIS!C27)</f>
        <v/>
      </c>
      <c r="C26" s="2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6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79"/>
      <c r="AJ26" s="52"/>
      <c r="AK26" s="52"/>
      <c r="AL26" s="52"/>
      <c r="AM26" s="53"/>
      <c r="AN26" s="20"/>
      <c r="AO26" s="19"/>
      <c r="AP26" s="19"/>
      <c r="AQ26" s="19"/>
      <c r="AR26" s="37" t="str">
        <f>IF(B26="","",IF('UC10-frente'!$I$13='UC9-frente'!$I$13,COUNTIFS(D26:AQ26,"|")+'UC9-verso'!AR26,COUNTIFS(D26:AQ26,"|")))</f>
        <v/>
      </c>
      <c r="AS26" s="16"/>
      <c r="AT26" s="37" t="str">
        <f t="shared" si="0"/>
        <v/>
      </c>
      <c r="AU26" s="66"/>
    </row>
    <row r="27" spans="1:47" ht="12" customHeight="1" x14ac:dyDescent="0.2">
      <c r="A27" s="36" t="str">
        <f>IF(B27="","",25)</f>
        <v/>
      </c>
      <c r="B27" s="212" t="str">
        <f>IF(ISBLANK(DADOS_GERAIS!C28),"",DADOS_GERAIS!C28)</f>
        <v/>
      </c>
      <c r="C27" s="212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80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58"/>
      <c r="AJ27" s="52"/>
      <c r="AK27" s="52"/>
      <c r="AL27" s="52"/>
      <c r="AM27" s="53"/>
      <c r="AN27" s="80"/>
      <c r="AO27" s="80"/>
      <c r="AP27" s="69"/>
      <c r="AQ27" s="80"/>
      <c r="AR27" s="37" t="str">
        <f>IF(B27="","",IF('UC10-frente'!$I$13='UC9-frente'!$I$13,COUNTIFS(D27:AQ27,"|")+'UC9-verso'!AR27,COUNTIFS(D27:AQ27,"|")))</f>
        <v/>
      </c>
      <c r="AS27" s="15"/>
      <c r="AT27" s="37" t="str">
        <f t="shared" si="0"/>
        <v/>
      </c>
      <c r="AU27" s="66"/>
    </row>
    <row r="28" spans="1:47" ht="12" customHeight="1" x14ac:dyDescent="0.2">
      <c r="A28" s="36" t="str">
        <f>IF(B28="","",26)</f>
        <v/>
      </c>
      <c r="B28" s="212" t="str">
        <f>IF(ISBLANK(DADOS_GERAIS!C29),"",DADOS_GERAIS!C29)</f>
        <v/>
      </c>
      <c r="C28" s="21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69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58"/>
      <c r="AJ28" s="55"/>
      <c r="AK28" s="55"/>
      <c r="AL28" s="55"/>
      <c r="AM28" s="56"/>
      <c r="AN28" s="21"/>
      <c r="AO28" s="22"/>
      <c r="AP28" s="22"/>
      <c r="AQ28" s="22"/>
      <c r="AR28" s="37" t="str">
        <f>IF(B28="","",IF('UC10-frente'!$I$13='UC9-frente'!$I$13,COUNTIFS(D28:AQ28,"|")+'UC9-verso'!AR28,COUNTIFS(D28:AQ28,"|")))</f>
        <v/>
      </c>
      <c r="AS28" s="17"/>
      <c r="AT28" s="37" t="str">
        <f t="shared" si="0"/>
        <v/>
      </c>
      <c r="AU28" s="66"/>
    </row>
    <row r="29" spans="1:47" ht="12" customHeight="1" x14ac:dyDescent="0.2">
      <c r="A29" s="36" t="str">
        <f>IF(B29="","",27)</f>
        <v/>
      </c>
      <c r="B29" s="212" t="str">
        <f>IF(ISBLANK(DADOS_GERAIS!C30),"",DADOS_GERAIS!C30)</f>
        <v/>
      </c>
      <c r="C29" s="212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79"/>
      <c r="AJ29" s="52"/>
      <c r="AK29" s="52"/>
      <c r="AL29" s="52"/>
      <c r="AM29" s="53"/>
      <c r="AN29" s="80"/>
      <c r="AO29" s="69"/>
      <c r="AP29" s="69"/>
      <c r="AQ29" s="69"/>
      <c r="AR29" s="37" t="str">
        <f>IF(B29="","",IF('UC10-frente'!$I$13='UC9-frente'!$I$13,COUNTIFS(D29:AQ29,"|")+'UC9-verso'!AR29,COUNTIFS(D29:AQ29,"|")))</f>
        <v/>
      </c>
      <c r="AS29" s="15"/>
      <c r="AT29" s="37" t="str">
        <f t="shared" si="0"/>
        <v/>
      </c>
      <c r="AU29" s="66"/>
    </row>
    <row r="30" spans="1:47" ht="12" customHeight="1" x14ac:dyDescent="0.2">
      <c r="A30" s="36" t="str">
        <f>IF(B30="","",28)</f>
        <v/>
      </c>
      <c r="B30" s="212" t="str">
        <f>IF(ISBLANK(DADOS_GERAIS!C31),"",DADOS_GERAIS!C31)</f>
        <v/>
      </c>
      <c r="C30" s="212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9"/>
      <c r="AJ30" s="55"/>
      <c r="AK30" s="55"/>
      <c r="AL30" s="55"/>
      <c r="AM30" s="56"/>
      <c r="AN30" s="80"/>
      <c r="AO30" s="69"/>
      <c r="AP30" s="69"/>
      <c r="AQ30" s="69"/>
      <c r="AR30" s="37" t="str">
        <f>IF(B30="","",IF('UC10-frente'!$I$13='UC9-frente'!$I$13,COUNTIFS(D30:AQ30,"|")+'UC9-verso'!AR30,COUNTIFS(D30:AQ30,"|")))</f>
        <v/>
      </c>
      <c r="AS30" s="15"/>
      <c r="AT30" s="37" t="str">
        <f t="shared" si="0"/>
        <v/>
      </c>
      <c r="AU30" s="66"/>
    </row>
    <row r="31" spans="1:47" ht="12" customHeight="1" x14ac:dyDescent="0.2">
      <c r="A31" s="36" t="str">
        <f>IF(B31="","",29)</f>
        <v/>
      </c>
      <c r="B31" s="212" t="str">
        <f>IF(ISBLANK(DADOS_GERAIS!C32),"",DADOS_GERAIS!C32)</f>
        <v/>
      </c>
      <c r="C31" s="212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79"/>
      <c r="AJ31" s="52"/>
      <c r="AK31" s="52"/>
      <c r="AL31" s="52"/>
      <c r="AM31" s="53"/>
      <c r="AN31" s="80"/>
      <c r="AO31" s="69"/>
      <c r="AP31" s="69"/>
      <c r="AQ31" s="69"/>
      <c r="AR31" s="37" t="str">
        <f>IF(B31="","",IF('UC10-frente'!$I$13='UC9-frente'!$I$13,COUNTIFS(D31:AQ31,"|")+'UC9-verso'!AR31,COUNTIFS(D31:AQ31,"|")))</f>
        <v/>
      </c>
      <c r="AS31" s="15"/>
      <c r="AT31" s="37" t="str">
        <f t="shared" si="0"/>
        <v/>
      </c>
      <c r="AU31" s="66"/>
    </row>
    <row r="32" spans="1:47" ht="12" customHeight="1" x14ac:dyDescent="0.2">
      <c r="A32" s="36" t="str">
        <f>IF(B32="","",30)</f>
        <v/>
      </c>
      <c r="B32" s="212" t="str">
        <f>IF(ISBLANK(DADOS_GERAIS!C33),"",DADOS_GERAIS!C33)</f>
        <v/>
      </c>
      <c r="C32" s="212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57"/>
      <c r="AJ32" s="55"/>
      <c r="AK32" s="55"/>
      <c r="AL32" s="55"/>
      <c r="AM32" s="56"/>
      <c r="AN32" s="80"/>
      <c r="AO32" s="69"/>
      <c r="AP32" s="69"/>
      <c r="AQ32" s="69"/>
      <c r="AR32" s="37" t="str">
        <f>IF(B32="","",IF('UC10-frente'!$I$13='UC9-frente'!$I$13,COUNTIFS(D32:AQ32,"|")+'UC9-verso'!AR32,COUNTIFS(D32:AQ32,"|")))</f>
        <v/>
      </c>
      <c r="AS32" s="15"/>
      <c r="AT32" s="37" t="str">
        <f t="shared" si="0"/>
        <v/>
      </c>
      <c r="AU32" s="66"/>
    </row>
    <row r="33" spans="1:47" ht="12" customHeight="1" x14ac:dyDescent="0.2">
      <c r="A33" s="36" t="str">
        <f>IF(B33="","",31)</f>
        <v/>
      </c>
      <c r="B33" s="212" t="str">
        <f>IF(ISBLANK(DADOS_GERAIS!C34),"",DADOS_GERAIS!C34)</f>
        <v/>
      </c>
      <c r="C33" s="212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9"/>
      <c r="AJ33" s="52"/>
      <c r="AK33" s="52"/>
      <c r="AL33" s="52"/>
      <c r="AM33" s="53"/>
      <c r="AN33" s="80"/>
      <c r="AO33" s="69"/>
      <c r="AP33" s="69"/>
      <c r="AQ33" s="69"/>
      <c r="AR33" s="37" t="str">
        <f>IF(B33="","",IF('UC10-frente'!$I$13='UC9-frente'!$I$13,COUNTIFS(D33:AQ33,"|")+'UC9-verso'!AR33,COUNTIFS(D33:AQ33,"|")))</f>
        <v/>
      </c>
      <c r="AS33" s="15"/>
      <c r="AT33" s="37" t="str">
        <f t="shared" si="0"/>
        <v/>
      </c>
      <c r="AU33" s="66"/>
    </row>
    <row r="34" spans="1:47" ht="12" customHeight="1" x14ac:dyDescent="0.2">
      <c r="A34" s="36" t="str">
        <f>IF(B34="","",32)</f>
        <v/>
      </c>
      <c r="B34" s="212" t="str">
        <f>IF(ISBLANK(DADOS_GERAIS!C35),"",DADOS_GERAIS!C35)</f>
        <v/>
      </c>
      <c r="C34" s="212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58"/>
      <c r="AJ34" s="52"/>
      <c r="AK34" s="52"/>
      <c r="AL34" s="52"/>
      <c r="AM34" s="53"/>
      <c r="AN34" s="80"/>
      <c r="AO34" s="69"/>
      <c r="AP34" s="69"/>
      <c r="AQ34" s="69"/>
      <c r="AR34" s="37" t="str">
        <f>IF(B34="","",IF('UC10-frente'!$I$13='UC9-frente'!$I$13,COUNTIFS(D34:AQ34,"|")+'UC9-verso'!AR34,COUNTIFS(D34:AQ34,"|")))</f>
        <v/>
      </c>
      <c r="AS34" s="15"/>
      <c r="AT34" s="37" t="str">
        <f t="shared" si="0"/>
        <v/>
      </c>
      <c r="AU34" s="66"/>
    </row>
    <row r="36" spans="1:47" x14ac:dyDescent="0.2">
      <c r="A36" s="217" t="s">
        <v>8</v>
      </c>
      <c r="B36" s="217"/>
      <c r="C36" s="114"/>
      <c r="D36" s="114"/>
      <c r="E36" s="42"/>
      <c r="F36" s="42"/>
      <c r="G36" s="42"/>
      <c r="H36" s="42"/>
      <c r="I36" s="42"/>
      <c r="J36" s="42"/>
      <c r="K36" s="42"/>
      <c r="L36" s="42"/>
    </row>
    <row r="37" spans="1:47" x14ac:dyDescent="0.2">
      <c r="A37" s="218" t="s">
        <v>9</v>
      </c>
      <c r="B37" s="218"/>
      <c r="C37" s="218"/>
      <c r="D37" s="218"/>
      <c r="E37" s="42"/>
      <c r="F37" s="42"/>
      <c r="G37" s="42"/>
      <c r="H37" s="42"/>
      <c r="I37" s="42"/>
      <c r="J37" s="42"/>
      <c r="K37" s="42"/>
      <c r="L37" s="42"/>
    </row>
    <row r="38" spans="1:47" x14ac:dyDescent="0.2">
      <c r="A38" s="114"/>
      <c r="B38" s="114"/>
      <c r="C38" s="114"/>
      <c r="D38" s="114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P38" s="44"/>
      <c r="AQ38" s="44"/>
      <c r="AR38" s="44"/>
      <c r="AS38" s="44"/>
      <c r="AT38" s="44"/>
      <c r="AU38" s="44"/>
    </row>
    <row r="39" spans="1:47" x14ac:dyDescent="0.2">
      <c r="A39" s="204" t="s">
        <v>40</v>
      </c>
      <c r="B39" s="204"/>
      <c r="C39" s="204"/>
      <c r="D39" s="204"/>
      <c r="E39" s="23"/>
      <c r="F39" s="23"/>
      <c r="G39" s="23"/>
      <c r="H39" s="23"/>
      <c r="I39" s="23"/>
      <c r="J39" s="23"/>
      <c r="K39" s="23"/>
      <c r="L39" s="23"/>
      <c r="M39" s="213" t="s">
        <v>10</v>
      </c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107"/>
      <c r="Z39" s="107"/>
      <c r="AA39" s="213" t="s">
        <v>34</v>
      </c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107"/>
      <c r="AN39" s="107"/>
      <c r="AO39" s="107"/>
      <c r="AP39" s="213" t="s">
        <v>35</v>
      </c>
      <c r="AQ39" s="213"/>
      <c r="AR39" s="213"/>
      <c r="AS39" s="213"/>
      <c r="AT39" s="213"/>
      <c r="AU39" s="213"/>
    </row>
    <row r="40" spans="1:47" x14ac:dyDescent="0.2">
      <c r="A40" s="114"/>
      <c r="B40" s="114"/>
      <c r="C40" s="114"/>
      <c r="D40" s="114"/>
      <c r="E40" s="23"/>
      <c r="F40" s="23"/>
      <c r="G40" s="23"/>
      <c r="H40" s="23"/>
      <c r="I40" s="23"/>
      <c r="J40" s="23"/>
      <c r="K40" s="23"/>
      <c r="L40" s="23"/>
      <c r="M40" s="214" t="s">
        <v>11</v>
      </c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107"/>
      <c r="Z40" s="107"/>
      <c r="AA40" s="214" t="s">
        <v>12</v>
      </c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107"/>
      <c r="AN40" s="107"/>
      <c r="AO40" s="107"/>
      <c r="AP40" s="214" t="s">
        <v>13</v>
      </c>
      <c r="AQ40" s="214"/>
      <c r="AR40" s="214"/>
      <c r="AS40" s="214"/>
      <c r="AT40" s="214"/>
      <c r="AU40" s="214"/>
    </row>
    <row r="41" spans="1:47" x14ac:dyDescent="0.2">
      <c r="A41" s="216" t="s">
        <v>39</v>
      </c>
      <c r="B41" s="216"/>
      <c r="C41" s="216"/>
      <c r="D41" s="103"/>
      <c r="E41" s="46"/>
      <c r="F41" s="46"/>
      <c r="G41" s="46"/>
      <c r="H41" s="47"/>
      <c r="I41" s="47"/>
      <c r="J41" s="47"/>
      <c r="K41" s="47"/>
      <c r="L41" s="47"/>
      <c r="M41" s="43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</row>
    <row r="42" spans="1:47" ht="4.5" customHeight="1" thickBot="1" x14ac:dyDescent="0.25">
      <c r="A42" s="61"/>
      <c r="B42" s="61"/>
      <c r="C42" s="61"/>
      <c r="D42" s="61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</row>
    <row r="43" spans="1:47" ht="15" customHeight="1" x14ac:dyDescent="0.2">
      <c r="A43" s="215" t="s">
        <v>36</v>
      </c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102"/>
      <c r="R43" s="102"/>
      <c r="S43" s="102"/>
      <c r="T43" s="102"/>
      <c r="U43" s="102"/>
      <c r="V43" s="102"/>
      <c r="W43" s="102"/>
    </row>
    <row r="44" spans="1:47" ht="6" customHeight="1" x14ac:dyDescent="0.2">
      <c r="A44" s="205" t="s">
        <v>81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</row>
    <row r="45" spans="1:47" ht="9" customHeight="1" x14ac:dyDescent="0.2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</row>
    <row r="46" spans="1:47" x14ac:dyDescent="0.2">
      <c r="B46" s="40"/>
    </row>
    <row r="47" spans="1:47" x14ac:dyDescent="0.2">
      <c r="B47" s="40"/>
    </row>
    <row r="48" spans="1:47" x14ac:dyDescent="0.2">
      <c r="B48" s="40"/>
    </row>
    <row r="49" spans="2:2" x14ac:dyDescent="0.2">
      <c r="B49" s="40"/>
    </row>
    <row r="50" spans="2:2" x14ac:dyDescent="0.2">
      <c r="B50" s="40"/>
    </row>
    <row r="51" spans="2:2" x14ac:dyDescent="0.2">
      <c r="B51" s="40"/>
    </row>
  </sheetData>
  <sheetProtection sheet="1" scenarios="1"/>
  <protectedRanges>
    <protectedRange sqref="D1:AQ34 AS3:AS34" name="Intervalo1"/>
  </protectedRanges>
  <mergeCells count="50">
    <mergeCell ref="A43:P43"/>
    <mergeCell ref="A44:AE45"/>
    <mergeCell ref="AA39:AL39"/>
    <mergeCell ref="AP39:AU39"/>
    <mergeCell ref="M40:X40"/>
    <mergeCell ref="AA40:AL40"/>
    <mergeCell ref="AP40:AU40"/>
    <mergeCell ref="A41:C41"/>
    <mergeCell ref="M39:X39"/>
    <mergeCell ref="B33:C33"/>
    <mergeCell ref="B34:C34"/>
    <mergeCell ref="A36:B36"/>
    <mergeCell ref="A37:D37"/>
    <mergeCell ref="A39:D3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T1:AT2"/>
    <mergeCell ref="AU1:AU2"/>
    <mergeCell ref="B8:C8"/>
    <mergeCell ref="A1:A2"/>
    <mergeCell ref="B1:B2"/>
    <mergeCell ref="AR1:AR2"/>
    <mergeCell ref="AS1:AS2"/>
    <mergeCell ref="B3:C3"/>
    <mergeCell ref="B4:C4"/>
    <mergeCell ref="B5:C5"/>
    <mergeCell ref="B6:C6"/>
    <mergeCell ref="B7:C7"/>
  </mergeCells>
  <printOptions horizontalCentered="1" verticalCentered="1"/>
  <pageMargins left="0" right="0" top="0" bottom="0" header="0" footer="0"/>
  <pageSetup paperSize="9" orientation="landscape" copies="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23</vt:i4>
      </vt:variant>
    </vt:vector>
  </HeadingPairs>
  <TitlesOfParts>
    <vt:vector size="46" baseType="lpstr">
      <vt:lpstr>DADOS_GERAIS</vt:lpstr>
      <vt:lpstr>GERAL-Frente</vt:lpstr>
      <vt:lpstr>GERAL-verso</vt:lpstr>
      <vt:lpstr>UC1-frente</vt:lpstr>
      <vt:lpstr>UC1-verso</vt:lpstr>
      <vt:lpstr>UC2-frente</vt:lpstr>
      <vt:lpstr>UC2-verso</vt:lpstr>
      <vt:lpstr>UC3-frente</vt:lpstr>
      <vt:lpstr>UC3-verso</vt:lpstr>
      <vt:lpstr>UC4-frente</vt:lpstr>
      <vt:lpstr>UC4-verso</vt:lpstr>
      <vt:lpstr>UC5-frente</vt:lpstr>
      <vt:lpstr>UC5-verso</vt:lpstr>
      <vt:lpstr>UC6-frente</vt:lpstr>
      <vt:lpstr>UC6-verso</vt:lpstr>
      <vt:lpstr>UC7-frente</vt:lpstr>
      <vt:lpstr>UC7-verso</vt:lpstr>
      <vt:lpstr>UC8-frente</vt:lpstr>
      <vt:lpstr>UC8-verso</vt:lpstr>
      <vt:lpstr>UC9-frente</vt:lpstr>
      <vt:lpstr>UC9-verso</vt:lpstr>
      <vt:lpstr>UC10-frente</vt:lpstr>
      <vt:lpstr>UC10-verso</vt:lpstr>
      <vt:lpstr>DADOS_GERAIS!Area_de_impressao</vt:lpstr>
      <vt:lpstr>'GERAL-Frente'!Area_de_impressao</vt:lpstr>
      <vt:lpstr>'GERAL-verso'!Area_de_impressao</vt:lpstr>
      <vt:lpstr>'UC10-frente'!Area_de_impressao</vt:lpstr>
      <vt:lpstr>'UC10-verso'!Area_de_impressao</vt:lpstr>
      <vt:lpstr>'UC1-frente'!Area_de_impressao</vt:lpstr>
      <vt:lpstr>'UC1-verso'!Area_de_impressao</vt:lpstr>
      <vt:lpstr>'UC2-frente'!Area_de_impressao</vt:lpstr>
      <vt:lpstr>'UC2-verso'!Area_de_impressao</vt:lpstr>
      <vt:lpstr>'UC3-frente'!Area_de_impressao</vt:lpstr>
      <vt:lpstr>'UC3-verso'!Area_de_impressao</vt:lpstr>
      <vt:lpstr>'UC4-frente'!Area_de_impressao</vt:lpstr>
      <vt:lpstr>'UC4-verso'!Area_de_impressao</vt:lpstr>
      <vt:lpstr>'UC5-frente'!Area_de_impressao</vt:lpstr>
      <vt:lpstr>'UC5-verso'!Area_de_impressao</vt:lpstr>
      <vt:lpstr>'UC6-frente'!Area_de_impressao</vt:lpstr>
      <vt:lpstr>'UC6-verso'!Area_de_impressao</vt:lpstr>
      <vt:lpstr>'UC7-frente'!Area_de_impressao</vt:lpstr>
      <vt:lpstr>'UC7-verso'!Area_de_impressao</vt:lpstr>
      <vt:lpstr>'UC8-frente'!Area_de_impressao</vt:lpstr>
      <vt:lpstr>'UC8-verso'!Area_de_impressao</vt:lpstr>
      <vt:lpstr>'UC9-frente'!Area_de_impressao</vt:lpstr>
      <vt:lpstr>'UC9-verso'!Area_de_impressao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Diogo_tb</dc:creator>
  <cp:lastModifiedBy>Instrutor</cp:lastModifiedBy>
  <cp:lastPrinted>2021-12-15T22:38:28Z</cp:lastPrinted>
  <dcterms:created xsi:type="dcterms:W3CDTF">2006-07-23T11:42:20Z</dcterms:created>
  <dcterms:modified xsi:type="dcterms:W3CDTF">2022-02-04T00:14:07Z</dcterms:modified>
</cp:coreProperties>
</file>